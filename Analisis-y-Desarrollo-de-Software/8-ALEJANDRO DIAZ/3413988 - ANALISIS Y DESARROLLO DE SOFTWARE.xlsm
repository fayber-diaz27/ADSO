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updateLinks="always" codeName="ThisWorkbook"/>
  <mc:AlternateContent xmlns:mc="http://schemas.openxmlformats.org/markup-compatibility/2006">
    <mc:Choice Requires="x15">
      <x15ac:absPath xmlns:x15ac="http://schemas.microsoft.com/office/spreadsheetml/2010/11/ac" url="C:\Users\DALIETH\Downloads\"/>
    </mc:Choice>
  </mc:AlternateContent>
  <xr:revisionPtr revIDLastSave="0" documentId="13_ncr:1_{16143DAA-AE9F-4ECA-A43A-61219D76EB8A}" xr6:coauthVersionLast="47" xr6:coauthVersionMax="47" xr10:uidLastSave="{00000000-0000-0000-0000-000000000000}"/>
  <bookViews>
    <workbookView xWindow="-120" yWindow="-120" windowWidth="20730" windowHeight="11160" tabRatio="937" firstSheet="12" activeTab="19" xr2:uid="{1F413B42-3A76-4D3B-AF4D-E9B23DAD8483}"/>
  </bookViews>
  <sheets>
    <sheet name="V2.1" sheetId="23" state="hidden" r:id="rId1"/>
    <sheet name="DI" sheetId="20" state="hidden" r:id="rId2"/>
    <sheet name="Datos Aprendiz" sheetId="1" r:id="rId3"/>
    <sheet name="Instrucciones" sheetId="2" r:id="rId4"/>
    <sheet name="Glosario" sheetId="3" r:id="rId5"/>
    <sheet name="1. Inversiones" sheetId="4" r:id="rId6"/>
    <sheet name="2. Mercado" sheetId="5" r:id="rId7"/>
    <sheet name="3. Proyección Ventas" sheetId="6" r:id="rId8"/>
    <sheet name="Gráficos Ventas" sheetId="22" r:id="rId9"/>
    <sheet name="Ventas Pesos Mes" sheetId="21" r:id="rId10"/>
    <sheet name="4. Costos Variables" sheetId="7" r:id="rId11"/>
    <sheet name="5. Resumen Ventas Costos" sheetId="8" r:id="rId12"/>
    <sheet name="6. Nomina" sheetId="10" r:id="rId13"/>
    <sheet name="7. Costos Fijos" sheetId="9" r:id="rId14"/>
    <sheet name="8. Gastos" sheetId="11" r:id="rId15"/>
    <sheet name="Arranque del Negocio" sheetId="19" r:id="rId16"/>
    <sheet name="9. Calculadora Cuota Préstamos" sheetId="24" state="hidden" r:id="rId17"/>
    <sheet name="10. Flujo de Caja" sheetId="12" r:id="rId18"/>
    <sheet name="11. Estado PyG" sheetId="13" r:id="rId19"/>
    <sheet name="12. P.E" sheetId="14" r:id="rId20"/>
    <sheet name="13. Balance Inicial" sheetId="15" r:id="rId21"/>
    <sheet name="14, Resumen Ejecutivo" sheetId="17" r:id="rId22"/>
    <sheet name="." sheetId="18" state="hidden" r:id="rId2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48" i="20" l="1"/>
  <c r="Y11" i="20"/>
  <c r="U11" i="20"/>
  <c r="Q11" i="20"/>
  <c r="B23" i="10"/>
  <c r="A2" i="17"/>
  <c r="D5" i="17"/>
  <c r="D6" i="17"/>
  <c r="D4" i="17"/>
  <c r="A40" i="17"/>
  <c r="A38" i="17"/>
  <c r="A39" i="17"/>
  <c r="A37" i="17"/>
  <c r="A42" i="17"/>
  <c r="A5" i="17"/>
  <c r="A6" i="17"/>
  <c r="A4" i="17"/>
  <c r="A1" i="17"/>
  <c r="A4" i="15"/>
  <c r="C4" i="14" l="1"/>
  <c r="B21" i="14"/>
  <c r="D83" i="7" l="1"/>
  <c r="I83" i="7" s="1"/>
  <c r="D82" i="7"/>
  <c r="E82" i="7" s="1"/>
  <c r="D81" i="7"/>
  <c r="E81" i="7" s="1"/>
  <c r="D80" i="7"/>
  <c r="E80" i="7" s="1"/>
  <c r="D63" i="7"/>
  <c r="E63" i="7" s="1"/>
  <c r="D64" i="7"/>
  <c r="E64" i="7" s="1"/>
  <c r="D65" i="7"/>
  <c r="E65" i="7" s="1"/>
  <c r="D62" i="7"/>
  <c r="E62" i="7" s="1"/>
  <c r="D45" i="7"/>
  <c r="E45" i="7" s="1"/>
  <c r="D46" i="7"/>
  <c r="I46" i="7" s="1"/>
  <c r="D47" i="7"/>
  <c r="E47" i="7" s="1"/>
  <c r="D44" i="7"/>
  <c r="I44" i="7" s="1"/>
  <c r="D27" i="7"/>
  <c r="E27" i="7" s="1"/>
  <c r="D28" i="7"/>
  <c r="E28" i="7" s="1"/>
  <c r="D29" i="7"/>
  <c r="E29" i="7" s="1"/>
  <c r="D26" i="7"/>
  <c r="E26" i="7" s="1"/>
  <c r="D10" i="7"/>
  <c r="D11" i="7"/>
  <c r="D12" i="7"/>
  <c r="E12" i="7" s="1"/>
  <c r="F12" i="7" s="1"/>
  <c r="G12" i="7" s="1"/>
  <c r="L12" i="7" s="1"/>
  <c r="D9" i="7"/>
  <c r="I9" i="7" s="1"/>
  <c r="G38" i="12"/>
  <c r="C66" i="24"/>
  <c r="C65" i="24"/>
  <c r="F62" i="24"/>
  <c r="F66" i="24" s="1"/>
  <c r="F61" i="24"/>
  <c r="J15" i="20"/>
  <c r="J16" i="20" s="1"/>
  <c r="B11" i="12"/>
  <c r="DH27" i="24"/>
  <c r="CZ27" i="24"/>
  <c r="CM27" i="24"/>
  <c r="CH27" i="24"/>
  <c r="BT27" i="24"/>
  <c r="BS27" i="24"/>
  <c r="BF27" i="24"/>
  <c r="BE27" i="24"/>
  <c r="AS27" i="24"/>
  <c r="AO27" i="24"/>
  <c r="AD27" i="24"/>
  <c r="AC27" i="24"/>
  <c r="U27" i="24"/>
  <c r="Q27" i="24"/>
  <c r="P27" i="24"/>
  <c r="C26" i="24"/>
  <c r="F23" i="24"/>
  <c r="F22" i="24"/>
  <c r="DQ27" i="24" s="1"/>
  <c r="F21" i="24"/>
  <c r="C29" i="24" s="1"/>
  <c r="C13" i="24"/>
  <c r="C12" i="24"/>
  <c r="F9" i="24"/>
  <c r="F8" i="24"/>
  <c r="DQ16" i="24" s="1"/>
  <c r="B56" i="11"/>
  <c r="C56" i="11" s="1"/>
  <c r="D56" i="11" s="1"/>
  <c r="E56" i="11" s="1"/>
  <c r="F56" i="11" s="1"/>
  <c r="G56" i="11" s="1"/>
  <c r="B55" i="11"/>
  <c r="C55" i="11" s="1"/>
  <c r="D55" i="11" s="1"/>
  <c r="E55" i="11" s="1"/>
  <c r="F55" i="11" s="1"/>
  <c r="G55" i="11" s="1"/>
  <c r="D54" i="11"/>
  <c r="E54" i="11" s="1"/>
  <c r="F54" i="11" s="1"/>
  <c r="G54" i="11" s="1"/>
  <c r="C54" i="11"/>
  <c r="C53" i="11"/>
  <c r="D53" i="11" s="1"/>
  <c r="E53" i="11" s="1"/>
  <c r="F53" i="11" s="1"/>
  <c r="G53" i="11" s="1"/>
  <c r="C52" i="11"/>
  <c r="D52" i="11" s="1"/>
  <c r="E52" i="11" s="1"/>
  <c r="F52" i="11" s="1"/>
  <c r="G52" i="11" s="1"/>
  <c r="C51" i="11"/>
  <c r="D51" i="11" s="1"/>
  <c r="E51" i="11" s="1"/>
  <c r="F51" i="11" s="1"/>
  <c r="G51" i="11" s="1"/>
  <c r="C50" i="11"/>
  <c r="D50" i="11" s="1"/>
  <c r="E50" i="11" s="1"/>
  <c r="F50" i="11" s="1"/>
  <c r="G50" i="11" s="1"/>
  <c r="C49" i="11"/>
  <c r="D49" i="11" s="1"/>
  <c r="E49" i="11" s="1"/>
  <c r="F49" i="11" s="1"/>
  <c r="G49" i="11" s="1"/>
  <c r="C42" i="11"/>
  <c r="D42" i="11" s="1"/>
  <c r="E42" i="11" s="1"/>
  <c r="F42" i="11" s="1"/>
  <c r="G42" i="11" s="1"/>
  <c r="C41" i="11"/>
  <c r="D41" i="11" s="1"/>
  <c r="E41" i="11" s="1"/>
  <c r="F41" i="11" s="1"/>
  <c r="G41" i="11" s="1"/>
  <c r="C40" i="11"/>
  <c r="D40" i="11" s="1"/>
  <c r="E40" i="11" s="1"/>
  <c r="F40" i="11" s="1"/>
  <c r="G40" i="11" s="1"/>
  <c r="B36" i="11"/>
  <c r="C36" i="11" s="1"/>
  <c r="D36" i="11" s="1"/>
  <c r="E36" i="11" s="1"/>
  <c r="F36" i="11" s="1"/>
  <c r="G36" i="11" s="1"/>
  <c r="B35" i="11"/>
  <c r="C35" i="11" s="1"/>
  <c r="D35" i="11" s="1"/>
  <c r="E35" i="11" s="1"/>
  <c r="F35" i="11" s="1"/>
  <c r="G35" i="11" s="1"/>
  <c r="B9" i="11"/>
  <c r="C26" i="9"/>
  <c r="D26" i="9" s="1"/>
  <c r="E26" i="9" s="1"/>
  <c r="F26" i="9" s="1"/>
  <c r="G26" i="9" s="1"/>
  <c r="C23" i="9"/>
  <c r="D23" i="9" s="1"/>
  <c r="E23" i="9" s="1"/>
  <c r="F23" i="9" s="1"/>
  <c r="G23" i="9" s="1"/>
  <c r="C22" i="9"/>
  <c r="D22" i="9" s="1"/>
  <c r="E22" i="9" s="1"/>
  <c r="F22" i="9" s="1"/>
  <c r="G22" i="9" s="1"/>
  <c r="C21" i="9"/>
  <c r="D21" i="9" s="1"/>
  <c r="E21" i="9" s="1"/>
  <c r="F21" i="9" s="1"/>
  <c r="G21" i="9" s="1"/>
  <c r="C20" i="9"/>
  <c r="D20" i="9" s="1"/>
  <c r="E20" i="9" s="1"/>
  <c r="F20" i="9" s="1"/>
  <c r="G20" i="9" s="1"/>
  <c r="C19" i="9"/>
  <c r="D19" i="9" s="1"/>
  <c r="E19" i="9" s="1"/>
  <c r="F19" i="9" s="1"/>
  <c r="G19" i="9" s="1"/>
  <c r="B16" i="9"/>
  <c r="C16" i="9" s="1"/>
  <c r="D16" i="9" s="1"/>
  <c r="E16" i="9" s="1"/>
  <c r="F16" i="9" s="1"/>
  <c r="G16" i="9" s="1"/>
  <c r="B5" i="9"/>
  <c r="B31" i="10"/>
  <c r="J18" i="10" s="1"/>
  <c r="L18" i="10" s="1"/>
  <c r="B25" i="10"/>
  <c r="J17" i="10" s="1"/>
  <c r="L17" i="10" s="1"/>
  <c r="B19" i="10"/>
  <c r="I18" i="10"/>
  <c r="I17" i="10"/>
  <c r="I16" i="10"/>
  <c r="I15" i="10"/>
  <c r="C10" i="10"/>
  <c r="L9" i="10"/>
  <c r="U7" i="20" s="1"/>
  <c r="K9" i="10"/>
  <c r="T7" i="20" s="1"/>
  <c r="J9" i="10"/>
  <c r="S7" i="20" s="1"/>
  <c r="I9" i="10"/>
  <c r="R7" i="20" s="1"/>
  <c r="H9" i="10"/>
  <c r="Q7" i="20" s="1"/>
  <c r="G9" i="10"/>
  <c r="P7" i="20" s="1"/>
  <c r="E9" i="10"/>
  <c r="N7" i="20" s="1"/>
  <c r="D9" i="10"/>
  <c r="M7" i="20" s="1"/>
  <c r="L8" i="10"/>
  <c r="U6" i="20" s="1"/>
  <c r="K8" i="10"/>
  <c r="T6" i="20" s="1"/>
  <c r="J8" i="10"/>
  <c r="S6" i="20" s="1"/>
  <c r="I8" i="10"/>
  <c r="R6" i="20" s="1"/>
  <c r="H8" i="10"/>
  <c r="G8" i="10"/>
  <c r="P6" i="20" s="1"/>
  <c r="E8" i="10"/>
  <c r="N6" i="20" s="1"/>
  <c r="D8" i="10"/>
  <c r="M6" i="20" s="1"/>
  <c r="L7" i="10"/>
  <c r="K7" i="10"/>
  <c r="T5" i="20" s="1"/>
  <c r="J7" i="10"/>
  <c r="I7" i="10"/>
  <c r="H7" i="10"/>
  <c r="Q5" i="20" s="1"/>
  <c r="G7" i="10"/>
  <c r="P5" i="20" s="1"/>
  <c r="E7" i="10"/>
  <c r="N5" i="20" s="1"/>
  <c r="D7" i="10"/>
  <c r="L6" i="10"/>
  <c r="U4" i="20" s="1"/>
  <c r="K6" i="10"/>
  <c r="T4" i="20" s="1"/>
  <c r="J6" i="10"/>
  <c r="S4" i="20" s="1"/>
  <c r="I6" i="10"/>
  <c r="R4" i="20" s="1"/>
  <c r="H6" i="10"/>
  <c r="Q4" i="20" s="1"/>
  <c r="G6" i="10"/>
  <c r="E6" i="10"/>
  <c r="N4" i="20" s="1"/>
  <c r="D6" i="10"/>
  <c r="M4" i="20" s="1"/>
  <c r="B11" i="8"/>
  <c r="B14" i="17" s="1"/>
  <c r="A11" i="8"/>
  <c r="B10" i="8"/>
  <c r="B13" i="17" s="1"/>
  <c r="A10" i="8"/>
  <c r="B9" i="8"/>
  <c r="B12" i="17" s="1"/>
  <c r="A9" i="8"/>
  <c r="B8" i="8"/>
  <c r="B11" i="17" s="1"/>
  <c r="A8" i="8"/>
  <c r="B7" i="8"/>
  <c r="B10" i="17" s="1"/>
  <c r="A7" i="8"/>
  <c r="C90" i="7"/>
  <c r="L89" i="7"/>
  <c r="K89" i="7"/>
  <c r="J89" i="7"/>
  <c r="I89" i="7"/>
  <c r="H89" i="7"/>
  <c r="L88" i="7"/>
  <c r="K88" i="7"/>
  <c r="J88" i="7"/>
  <c r="I88" i="7"/>
  <c r="H88" i="7"/>
  <c r="L87" i="7"/>
  <c r="K87" i="7"/>
  <c r="J87" i="7"/>
  <c r="I87" i="7"/>
  <c r="H87" i="7"/>
  <c r="L86" i="7"/>
  <c r="K86" i="7"/>
  <c r="J86" i="7"/>
  <c r="I86" i="7"/>
  <c r="H86" i="7"/>
  <c r="L85" i="7"/>
  <c r="K85" i="7"/>
  <c r="J85" i="7"/>
  <c r="I85" i="7"/>
  <c r="H85" i="7"/>
  <c r="L84" i="7"/>
  <c r="K84" i="7"/>
  <c r="J84" i="7"/>
  <c r="I84" i="7"/>
  <c r="H84" i="7"/>
  <c r="H83" i="7"/>
  <c r="H82" i="7"/>
  <c r="H81" i="7"/>
  <c r="H80" i="7"/>
  <c r="B78" i="7"/>
  <c r="C72" i="7"/>
  <c r="L71" i="7"/>
  <c r="K71" i="7"/>
  <c r="J71" i="7"/>
  <c r="I71" i="7"/>
  <c r="H71" i="7"/>
  <c r="L70" i="7"/>
  <c r="K70" i="7"/>
  <c r="J70" i="7"/>
  <c r="I70" i="7"/>
  <c r="H70" i="7"/>
  <c r="L69" i="7"/>
  <c r="K69" i="7"/>
  <c r="J69" i="7"/>
  <c r="I69" i="7"/>
  <c r="H69" i="7"/>
  <c r="L68" i="7"/>
  <c r="K68" i="7"/>
  <c r="J68" i="7"/>
  <c r="I68" i="7"/>
  <c r="H68" i="7"/>
  <c r="L67" i="7"/>
  <c r="K67" i="7"/>
  <c r="J67" i="7"/>
  <c r="I67" i="7"/>
  <c r="H67" i="7"/>
  <c r="L66" i="7"/>
  <c r="K66" i="7"/>
  <c r="J66" i="7"/>
  <c r="I66" i="7"/>
  <c r="H66" i="7"/>
  <c r="H65" i="7"/>
  <c r="H64" i="7"/>
  <c r="H63" i="7"/>
  <c r="H62" i="7"/>
  <c r="B60" i="7"/>
  <c r="C54" i="7"/>
  <c r="L53" i="7"/>
  <c r="K53" i="7"/>
  <c r="J53" i="7"/>
  <c r="I53" i="7"/>
  <c r="H53" i="7"/>
  <c r="L52" i="7"/>
  <c r="K52" i="7"/>
  <c r="J52" i="7"/>
  <c r="I52" i="7"/>
  <c r="H52" i="7"/>
  <c r="L51" i="7"/>
  <c r="K51" i="7"/>
  <c r="J51" i="7"/>
  <c r="I51" i="7"/>
  <c r="H51" i="7"/>
  <c r="L50" i="7"/>
  <c r="K50" i="7"/>
  <c r="J50" i="7"/>
  <c r="I50" i="7"/>
  <c r="H50" i="7"/>
  <c r="L49" i="7"/>
  <c r="K49" i="7"/>
  <c r="J49" i="7"/>
  <c r="I49" i="7"/>
  <c r="H49" i="7"/>
  <c r="L48" i="7"/>
  <c r="K48" i="7"/>
  <c r="J48" i="7"/>
  <c r="I48" i="7"/>
  <c r="H48" i="7"/>
  <c r="H47" i="7"/>
  <c r="H46" i="7"/>
  <c r="H45" i="7"/>
  <c r="H44" i="7"/>
  <c r="B42" i="7"/>
  <c r="C36" i="7"/>
  <c r="L35" i="7"/>
  <c r="K35" i="7"/>
  <c r="J35" i="7"/>
  <c r="I35" i="7"/>
  <c r="H35" i="7"/>
  <c r="L34" i="7"/>
  <c r="K34" i="7"/>
  <c r="J34" i="7"/>
  <c r="I34" i="7"/>
  <c r="H34" i="7"/>
  <c r="L33" i="7"/>
  <c r="K33" i="7"/>
  <c r="J33" i="7"/>
  <c r="I33" i="7"/>
  <c r="H33" i="7"/>
  <c r="L32" i="7"/>
  <c r="K32" i="7"/>
  <c r="J32" i="7"/>
  <c r="I32" i="7"/>
  <c r="H32" i="7"/>
  <c r="L31" i="7"/>
  <c r="K31" i="7"/>
  <c r="J31" i="7"/>
  <c r="I31" i="7"/>
  <c r="H31" i="7"/>
  <c r="L30" i="7"/>
  <c r="K30" i="7"/>
  <c r="J30" i="7"/>
  <c r="I30" i="7"/>
  <c r="H30" i="7"/>
  <c r="H29" i="7"/>
  <c r="H28" i="7"/>
  <c r="H27" i="7"/>
  <c r="H26" i="7"/>
  <c r="B24" i="7"/>
  <c r="C19" i="7"/>
  <c r="L18" i="7"/>
  <c r="K18" i="7"/>
  <c r="J18" i="7"/>
  <c r="I18" i="7"/>
  <c r="H18" i="7"/>
  <c r="L17" i="7"/>
  <c r="K17" i="7"/>
  <c r="J17" i="7"/>
  <c r="I17" i="7"/>
  <c r="H17" i="7"/>
  <c r="L16" i="7"/>
  <c r="K16" i="7"/>
  <c r="J16" i="7"/>
  <c r="I16" i="7"/>
  <c r="H16" i="7"/>
  <c r="L15" i="7"/>
  <c r="K15" i="7"/>
  <c r="J15" i="7"/>
  <c r="I15" i="7"/>
  <c r="H15" i="7"/>
  <c r="L14" i="7"/>
  <c r="K14" i="7"/>
  <c r="J14" i="7"/>
  <c r="I14" i="7"/>
  <c r="H14" i="7"/>
  <c r="L13" i="7"/>
  <c r="K13" i="7"/>
  <c r="J13" i="7"/>
  <c r="I13" i="7"/>
  <c r="H13" i="7"/>
  <c r="H12" i="7"/>
  <c r="H11" i="7"/>
  <c r="H10" i="7"/>
  <c r="H9" i="7"/>
  <c r="B7" i="7"/>
  <c r="M11" i="21"/>
  <c r="L11" i="21"/>
  <c r="K11" i="21"/>
  <c r="J11" i="21"/>
  <c r="I11" i="21"/>
  <c r="H11" i="21"/>
  <c r="G11" i="21"/>
  <c r="F11" i="21"/>
  <c r="E11" i="21"/>
  <c r="D11" i="21"/>
  <c r="C11" i="21"/>
  <c r="B11" i="21"/>
  <c r="A11" i="21"/>
  <c r="A20" i="21" s="1"/>
  <c r="A29" i="21" s="1"/>
  <c r="A38" i="21" s="1"/>
  <c r="A47" i="21" s="1"/>
  <c r="M10" i="21"/>
  <c r="L10" i="21"/>
  <c r="K10" i="21"/>
  <c r="J10" i="21"/>
  <c r="I10" i="21"/>
  <c r="H10" i="21"/>
  <c r="G10" i="21"/>
  <c r="F10" i="21"/>
  <c r="E10" i="21"/>
  <c r="D10" i="21"/>
  <c r="C10" i="21"/>
  <c r="B10" i="21"/>
  <c r="A10" i="21"/>
  <c r="A19" i="21" s="1"/>
  <c r="A28" i="21" s="1"/>
  <c r="A37" i="21" s="1"/>
  <c r="A46" i="21" s="1"/>
  <c r="M9" i="21"/>
  <c r="L9" i="21"/>
  <c r="K9" i="21"/>
  <c r="J9" i="21"/>
  <c r="I9" i="21"/>
  <c r="H9" i="21"/>
  <c r="G9" i="21"/>
  <c r="F9" i="21"/>
  <c r="E9" i="21"/>
  <c r="D9" i="21"/>
  <c r="C9" i="21"/>
  <c r="B9" i="21"/>
  <c r="A9" i="21"/>
  <c r="A18" i="21" s="1"/>
  <c r="A27" i="21" s="1"/>
  <c r="A36" i="21" s="1"/>
  <c r="A45" i="21" s="1"/>
  <c r="M8" i="21"/>
  <c r="L8" i="21"/>
  <c r="K8" i="21"/>
  <c r="J8" i="21"/>
  <c r="I8" i="21"/>
  <c r="H8" i="21"/>
  <c r="G8" i="21"/>
  <c r="F8" i="21"/>
  <c r="E8" i="21"/>
  <c r="D8" i="21"/>
  <c r="C8" i="21"/>
  <c r="B8" i="21"/>
  <c r="A8" i="21"/>
  <c r="A17" i="21" s="1"/>
  <c r="A26" i="21" s="1"/>
  <c r="A35" i="21" s="1"/>
  <c r="A44" i="21" s="1"/>
  <c r="M7" i="21"/>
  <c r="L7" i="21"/>
  <c r="K7" i="21"/>
  <c r="J7" i="21"/>
  <c r="I7" i="21"/>
  <c r="H7" i="21"/>
  <c r="G7" i="21"/>
  <c r="F7" i="21"/>
  <c r="E7" i="21"/>
  <c r="D7" i="21"/>
  <c r="C7" i="21"/>
  <c r="B7" i="21"/>
  <c r="A7" i="21"/>
  <c r="A16" i="21" s="1"/>
  <c r="A25" i="21" s="1"/>
  <c r="A34" i="21" s="1"/>
  <c r="A43" i="21" s="1"/>
  <c r="P136" i="22"/>
  <c r="O136" i="22"/>
  <c r="N136" i="22"/>
  <c r="M136" i="22"/>
  <c r="L136" i="22"/>
  <c r="K136" i="22"/>
  <c r="J136" i="22"/>
  <c r="I136" i="22"/>
  <c r="H136" i="22"/>
  <c r="G136" i="22"/>
  <c r="F136" i="22"/>
  <c r="E136" i="22"/>
  <c r="D136" i="22"/>
  <c r="C136" i="22"/>
  <c r="B136" i="22"/>
  <c r="P135" i="22"/>
  <c r="O135" i="22"/>
  <c r="N135" i="22"/>
  <c r="M135" i="22"/>
  <c r="L135" i="22"/>
  <c r="K135" i="22"/>
  <c r="J135" i="22"/>
  <c r="I135" i="22"/>
  <c r="H135" i="22"/>
  <c r="G135" i="22"/>
  <c r="F135" i="22"/>
  <c r="E135" i="22"/>
  <c r="D135" i="22"/>
  <c r="C135" i="22"/>
  <c r="B135" i="22"/>
  <c r="P134" i="22"/>
  <c r="O134" i="22"/>
  <c r="N134" i="22"/>
  <c r="M134" i="22"/>
  <c r="L134" i="22"/>
  <c r="K134" i="22"/>
  <c r="J134" i="22"/>
  <c r="I134" i="22"/>
  <c r="H134" i="22"/>
  <c r="G134" i="22"/>
  <c r="F134" i="22"/>
  <c r="E134" i="22"/>
  <c r="D134" i="22"/>
  <c r="C134" i="22"/>
  <c r="B134" i="22"/>
  <c r="P133" i="22"/>
  <c r="O133" i="22"/>
  <c r="N133" i="22"/>
  <c r="M133" i="22"/>
  <c r="L133" i="22"/>
  <c r="K133" i="22"/>
  <c r="J133" i="22"/>
  <c r="I133" i="22"/>
  <c r="H133" i="22"/>
  <c r="G133" i="22"/>
  <c r="F133" i="22"/>
  <c r="E133" i="22"/>
  <c r="D133" i="22"/>
  <c r="C133" i="22"/>
  <c r="B133" i="22"/>
  <c r="P132" i="22"/>
  <c r="O132" i="22"/>
  <c r="N132" i="22"/>
  <c r="M132" i="22"/>
  <c r="L132" i="22"/>
  <c r="K132" i="22"/>
  <c r="J132" i="22"/>
  <c r="I132" i="22"/>
  <c r="H132" i="22"/>
  <c r="G132" i="22"/>
  <c r="F132" i="22"/>
  <c r="E132" i="22"/>
  <c r="D132" i="22"/>
  <c r="C132" i="22"/>
  <c r="B132" i="22"/>
  <c r="P131" i="22"/>
  <c r="O131" i="22"/>
  <c r="N131" i="22"/>
  <c r="M131" i="22"/>
  <c r="L131" i="22"/>
  <c r="K131" i="22"/>
  <c r="J131" i="22"/>
  <c r="I131" i="22"/>
  <c r="H131" i="22"/>
  <c r="G131" i="22"/>
  <c r="F131" i="22"/>
  <c r="E131" i="22"/>
  <c r="D131" i="22"/>
  <c r="C131" i="22"/>
  <c r="B131" i="22"/>
  <c r="P127" i="22"/>
  <c r="O127" i="22"/>
  <c r="N127" i="22"/>
  <c r="M127" i="22"/>
  <c r="L127" i="22"/>
  <c r="K127" i="22"/>
  <c r="J127" i="22"/>
  <c r="I127" i="22"/>
  <c r="H127" i="22"/>
  <c r="G127" i="22"/>
  <c r="F127" i="22"/>
  <c r="E127" i="22"/>
  <c r="D127" i="22"/>
  <c r="C127" i="22"/>
  <c r="B127" i="22"/>
  <c r="P126" i="22"/>
  <c r="O126" i="22"/>
  <c r="N126" i="22"/>
  <c r="M126" i="22"/>
  <c r="L126" i="22"/>
  <c r="K126" i="22"/>
  <c r="J126" i="22"/>
  <c r="I126" i="22"/>
  <c r="H126" i="22"/>
  <c r="G126" i="22"/>
  <c r="F126" i="22"/>
  <c r="E126" i="22"/>
  <c r="D126" i="22"/>
  <c r="C126" i="22"/>
  <c r="B126" i="22"/>
  <c r="P125" i="22"/>
  <c r="O125" i="22"/>
  <c r="N125" i="22"/>
  <c r="M125" i="22"/>
  <c r="L125" i="22"/>
  <c r="K125" i="22"/>
  <c r="J125" i="22"/>
  <c r="I125" i="22"/>
  <c r="H125" i="22"/>
  <c r="G125" i="22"/>
  <c r="F125" i="22"/>
  <c r="E125" i="22"/>
  <c r="D125" i="22"/>
  <c r="C125" i="22"/>
  <c r="B125" i="22"/>
  <c r="P124" i="22"/>
  <c r="O124" i="22"/>
  <c r="N124" i="22"/>
  <c r="M124" i="22"/>
  <c r="L124" i="22"/>
  <c r="K124" i="22"/>
  <c r="J124" i="22"/>
  <c r="I124" i="22"/>
  <c r="H124" i="22"/>
  <c r="G124" i="22"/>
  <c r="F124" i="22"/>
  <c r="E124" i="22"/>
  <c r="D124" i="22"/>
  <c r="C124" i="22"/>
  <c r="B124" i="22"/>
  <c r="P123" i="22"/>
  <c r="O123" i="22"/>
  <c r="N123" i="22"/>
  <c r="M123" i="22"/>
  <c r="L123" i="22"/>
  <c r="K123" i="22"/>
  <c r="J123" i="22"/>
  <c r="I123" i="22"/>
  <c r="H123" i="22"/>
  <c r="G123" i="22"/>
  <c r="F123" i="22"/>
  <c r="E123" i="22"/>
  <c r="D123" i="22"/>
  <c r="C123" i="22"/>
  <c r="B123" i="22"/>
  <c r="P122" i="22"/>
  <c r="O122" i="22"/>
  <c r="N122" i="22"/>
  <c r="M122" i="22"/>
  <c r="L122" i="22"/>
  <c r="K122" i="22"/>
  <c r="J122" i="22"/>
  <c r="I122" i="22"/>
  <c r="H122" i="22"/>
  <c r="G122" i="22"/>
  <c r="F122" i="22"/>
  <c r="E122" i="22"/>
  <c r="D122" i="22"/>
  <c r="C122" i="22"/>
  <c r="B122" i="22"/>
  <c r="P118" i="22"/>
  <c r="O118" i="22"/>
  <c r="N118" i="22"/>
  <c r="M118" i="22"/>
  <c r="L118" i="22"/>
  <c r="K118" i="22"/>
  <c r="J118" i="22"/>
  <c r="I118" i="22"/>
  <c r="H118" i="22"/>
  <c r="G118" i="22"/>
  <c r="F118" i="22"/>
  <c r="E118" i="22"/>
  <c r="D118" i="22"/>
  <c r="C118" i="22"/>
  <c r="B118" i="22"/>
  <c r="P117" i="22"/>
  <c r="O117" i="22"/>
  <c r="N117" i="22"/>
  <c r="M117" i="22"/>
  <c r="L117" i="22"/>
  <c r="K117" i="22"/>
  <c r="J117" i="22"/>
  <c r="I117" i="22"/>
  <c r="H117" i="22"/>
  <c r="G117" i="22"/>
  <c r="F117" i="22"/>
  <c r="E117" i="22"/>
  <c r="D117" i="22"/>
  <c r="C117" i="22"/>
  <c r="B117" i="22"/>
  <c r="P116" i="22"/>
  <c r="O116" i="22"/>
  <c r="N116" i="22"/>
  <c r="M116" i="22"/>
  <c r="L116" i="22"/>
  <c r="K116" i="22"/>
  <c r="J116" i="22"/>
  <c r="I116" i="22"/>
  <c r="H116" i="22"/>
  <c r="G116" i="22"/>
  <c r="F116" i="22"/>
  <c r="E116" i="22"/>
  <c r="D116" i="22"/>
  <c r="C116" i="22"/>
  <c r="B116" i="22"/>
  <c r="P115" i="22"/>
  <c r="O115" i="22"/>
  <c r="N115" i="22"/>
  <c r="M115" i="22"/>
  <c r="L115" i="22"/>
  <c r="K115" i="22"/>
  <c r="J115" i="22"/>
  <c r="I115" i="22"/>
  <c r="H115" i="22"/>
  <c r="G115" i="22"/>
  <c r="F115" i="22"/>
  <c r="E115" i="22"/>
  <c r="D115" i="22"/>
  <c r="C115" i="22"/>
  <c r="B115" i="22"/>
  <c r="P114" i="22"/>
  <c r="O114" i="22"/>
  <c r="N114" i="22"/>
  <c r="M114" i="22"/>
  <c r="L114" i="22"/>
  <c r="K114" i="22"/>
  <c r="J114" i="22"/>
  <c r="I114" i="22"/>
  <c r="H114" i="22"/>
  <c r="G114" i="22"/>
  <c r="F114" i="22"/>
  <c r="E114" i="22"/>
  <c r="D114" i="22"/>
  <c r="C114" i="22"/>
  <c r="B114" i="22"/>
  <c r="P113" i="22"/>
  <c r="O113" i="22"/>
  <c r="N113" i="22"/>
  <c r="M113" i="22"/>
  <c r="L113" i="22"/>
  <c r="K113" i="22"/>
  <c r="J113" i="22"/>
  <c r="I113" i="22"/>
  <c r="H113" i="22"/>
  <c r="G113" i="22"/>
  <c r="F113" i="22"/>
  <c r="E113" i="22"/>
  <c r="D113" i="22"/>
  <c r="C113" i="22"/>
  <c r="B113" i="22"/>
  <c r="P109" i="22"/>
  <c r="O109" i="22"/>
  <c r="N109" i="22"/>
  <c r="M109" i="22"/>
  <c r="L109" i="22"/>
  <c r="K109" i="22"/>
  <c r="J109" i="22"/>
  <c r="I109" i="22"/>
  <c r="H109" i="22"/>
  <c r="G109" i="22"/>
  <c r="F109" i="22"/>
  <c r="E109" i="22"/>
  <c r="D109" i="22"/>
  <c r="C109" i="22"/>
  <c r="B109" i="22"/>
  <c r="P108" i="22"/>
  <c r="O108" i="22"/>
  <c r="N108" i="22"/>
  <c r="M108" i="22"/>
  <c r="L108" i="22"/>
  <c r="K108" i="22"/>
  <c r="J108" i="22"/>
  <c r="I108" i="22"/>
  <c r="H108" i="22"/>
  <c r="G108" i="22"/>
  <c r="F108" i="22"/>
  <c r="E108" i="22"/>
  <c r="D108" i="22"/>
  <c r="C108" i="22"/>
  <c r="B108" i="22"/>
  <c r="P107" i="22"/>
  <c r="O107" i="22"/>
  <c r="N107" i="22"/>
  <c r="M107" i="22"/>
  <c r="L107" i="22"/>
  <c r="K107" i="22"/>
  <c r="J107" i="22"/>
  <c r="I107" i="22"/>
  <c r="H107" i="22"/>
  <c r="G107" i="22"/>
  <c r="F107" i="22"/>
  <c r="E107" i="22"/>
  <c r="D107" i="22"/>
  <c r="C107" i="22"/>
  <c r="B107" i="22"/>
  <c r="P106" i="22"/>
  <c r="O106" i="22"/>
  <c r="N106" i="22"/>
  <c r="M106" i="22"/>
  <c r="L106" i="22"/>
  <c r="K106" i="22"/>
  <c r="J106" i="22"/>
  <c r="I106" i="22"/>
  <c r="H106" i="22"/>
  <c r="G106" i="22"/>
  <c r="F106" i="22"/>
  <c r="E106" i="22"/>
  <c r="D106" i="22"/>
  <c r="C106" i="22"/>
  <c r="B106" i="22"/>
  <c r="P105" i="22"/>
  <c r="O105" i="22"/>
  <c r="N105" i="22"/>
  <c r="M105" i="22"/>
  <c r="L105" i="22"/>
  <c r="K105" i="22"/>
  <c r="J105" i="22"/>
  <c r="I105" i="22"/>
  <c r="H105" i="22"/>
  <c r="G105" i="22"/>
  <c r="F105" i="22"/>
  <c r="E105" i="22"/>
  <c r="D105" i="22"/>
  <c r="C105" i="22"/>
  <c r="B105" i="22"/>
  <c r="P104" i="22"/>
  <c r="O104" i="22"/>
  <c r="N104" i="22"/>
  <c r="M104" i="22"/>
  <c r="L104" i="22"/>
  <c r="K104" i="22"/>
  <c r="J104" i="22"/>
  <c r="I104" i="22"/>
  <c r="H104" i="22"/>
  <c r="G104" i="22"/>
  <c r="F104" i="22"/>
  <c r="E104" i="22"/>
  <c r="D104" i="22"/>
  <c r="C104" i="22"/>
  <c r="B104" i="22"/>
  <c r="P100" i="22"/>
  <c r="O100" i="22"/>
  <c r="N100" i="22"/>
  <c r="M100" i="22"/>
  <c r="L100" i="22"/>
  <c r="K100" i="22"/>
  <c r="J100" i="22"/>
  <c r="I100" i="22"/>
  <c r="H100" i="22"/>
  <c r="G100" i="22"/>
  <c r="F100" i="22"/>
  <c r="E100" i="22"/>
  <c r="D100" i="22"/>
  <c r="C100" i="22"/>
  <c r="B100" i="22"/>
  <c r="P99" i="22"/>
  <c r="O99" i="22"/>
  <c r="N99" i="22"/>
  <c r="P98" i="22"/>
  <c r="O98" i="22"/>
  <c r="N98" i="22"/>
  <c r="P97" i="22"/>
  <c r="O97" i="22"/>
  <c r="N97" i="22"/>
  <c r="P96" i="22"/>
  <c r="O96" i="22"/>
  <c r="N96" i="22"/>
  <c r="P95" i="22"/>
  <c r="O95" i="22"/>
  <c r="N95" i="22"/>
  <c r="M20" i="6"/>
  <c r="L20" i="6"/>
  <c r="K20" i="6"/>
  <c r="J20" i="6"/>
  <c r="I20" i="6"/>
  <c r="H20" i="6"/>
  <c r="G20" i="6"/>
  <c r="F20" i="6"/>
  <c r="E20" i="6"/>
  <c r="D20" i="6"/>
  <c r="C20" i="6"/>
  <c r="B20" i="6"/>
  <c r="M19" i="6"/>
  <c r="M28" i="6" s="1"/>
  <c r="L19" i="6"/>
  <c r="L28" i="6" s="1"/>
  <c r="K19" i="6"/>
  <c r="K28" i="6" s="1"/>
  <c r="J19" i="6"/>
  <c r="J28" i="6" s="1"/>
  <c r="I19" i="6"/>
  <c r="H19" i="6"/>
  <c r="G19" i="6"/>
  <c r="G28" i="6" s="1"/>
  <c r="G37" i="6" s="1"/>
  <c r="F19" i="6"/>
  <c r="F28" i="6" s="1"/>
  <c r="E19" i="6"/>
  <c r="E28" i="6" s="1"/>
  <c r="D19" i="6"/>
  <c r="D28" i="6" s="1"/>
  <c r="C19" i="6"/>
  <c r="C28" i="6" s="1"/>
  <c r="B19" i="6"/>
  <c r="M18" i="6"/>
  <c r="L18" i="6"/>
  <c r="K18" i="6"/>
  <c r="K27" i="6" s="1"/>
  <c r="J18" i="6"/>
  <c r="J27" i="6" s="1"/>
  <c r="I18" i="6"/>
  <c r="I27" i="6" s="1"/>
  <c r="H18" i="6"/>
  <c r="G18" i="6"/>
  <c r="F18" i="6"/>
  <c r="E18" i="6"/>
  <c r="D18" i="6"/>
  <c r="C18" i="6"/>
  <c r="C27" i="6" s="1"/>
  <c r="B18" i="6"/>
  <c r="B27" i="6" s="1"/>
  <c r="M17" i="6"/>
  <c r="L17" i="6"/>
  <c r="K17" i="6"/>
  <c r="J17" i="6"/>
  <c r="I17" i="6"/>
  <c r="H17" i="6"/>
  <c r="H26" i="6" s="1"/>
  <c r="G17" i="6"/>
  <c r="F17" i="6"/>
  <c r="E17" i="6"/>
  <c r="D17" i="6"/>
  <c r="C17" i="6"/>
  <c r="B17" i="6"/>
  <c r="B26" i="6" s="1"/>
  <c r="M16" i="6"/>
  <c r="M25" i="6" s="1"/>
  <c r="L16" i="6"/>
  <c r="L25" i="6" s="1"/>
  <c r="K16" i="6"/>
  <c r="K25" i="6" s="1"/>
  <c r="J16" i="6"/>
  <c r="J25" i="6" s="1"/>
  <c r="I16" i="6"/>
  <c r="H16" i="6"/>
  <c r="G16" i="6"/>
  <c r="F16" i="6"/>
  <c r="E16" i="6"/>
  <c r="D16" i="6"/>
  <c r="D25" i="6" s="1"/>
  <c r="C16" i="6"/>
  <c r="C25" i="6" s="1"/>
  <c r="B16" i="6"/>
  <c r="M12" i="6"/>
  <c r="M59" i="6" s="1"/>
  <c r="L12" i="6"/>
  <c r="L59" i="6" s="1"/>
  <c r="K12" i="6"/>
  <c r="K59" i="6" s="1"/>
  <c r="J12" i="6"/>
  <c r="J59" i="6" s="1"/>
  <c r="I12" i="6"/>
  <c r="I59" i="6" s="1"/>
  <c r="H12" i="6"/>
  <c r="H59" i="6" s="1"/>
  <c r="G12" i="6"/>
  <c r="G59" i="6" s="1"/>
  <c r="F12" i="6"/>
  <c r="F59" i="6" s="1"/>
  <c r="E12" i="6"/>
  <c r="E59" i="6" s="1"/>
  <c r="D12" i="6"/>
  <c r="D59" i="6" s="1"/>
  <c r="C12" i="6"/>
  <c r="C59" i="6" s="1"/>
  <c r="B12" i="6"/>
  <c r="B59" i="6" s="1"/>
  <c r="N11" i="6"/>
  <c r="O11" i="6" s="1"/>
  <c r="P11" i="6" s="1"/>
  <c r="A11" i="6"/>
  <c r="A20" i="6" s="1"/>
  <c r="A29" i="6" s="1"/>
  <c r="A38" i="6" s="1"/>
  <c r="A47" i="6" s="1"/>
  <c r="N10" i="6"/>
  <c r="O10" i="6" s="1"/>
  <c r="P10" i="6" s="1"/>
  <c r="A10" i="6"/>
  <c r="A19" i="6" s="1"/>
  <c r="A28" i="6" s="1"/>
  <c r="A37" i="6" s="1"/>
  <c r="A46" i="6" s="1"/>
  <c r="N9" i="6"/>
  <c r="O9" i="6" s="1"/>
  <c r="P9" i="6" s="1"/>
  <c r="A9" i="6"/>
  <c r="A18" i="6" s="1"/>
  <c r="A27" i="6" s="1"/>
  <c r="A36" i="6" s="1"/>
  <c r="A45" i="6" s="1"/>
  <c r="N8" i="6"/>
  <c r="O8" i="6" s="1"/>
  <c r="P8" i="6" s="1"/>
  <c r="A8" i="6"/>
  <c r="A17" i="6" s="1"/>
  <c r="A26" i="6" s="1"/>
  <c r="A35" i="6" s="1"/>
  <c r="A44" i="6" s="1"/>
  <c r="N7" i="6"/>
  <c r="O7" i="6" s="1"/>
  <c r="A7" i="6"/>
  <c r="A16" i="6" s="1"/>
  <c r="A25" i="6" s="1"/>
  <c r="A34" i="6" s="1"/>
  <c r="A43" i="6" s="1"/>
  <c r="F22" i="5"/>
  <c r="B22" i="5"/>
  <c r="A22" i="5"/>
  <c r="F21" i="5"/>
  <c r="B21" i="5"/>
  <c r="A21" i="5"/>
  <c r="F20" i="5"/>
  <c r="B20" i="5"/>
  <c r="A20" i="5"/>
  <c r="F19" i="5"/>
  <c r="B19" i="5"/>
  <c r="A19" i="5"/>
  <c r="F18" i="5"/>
  <c r="B18" i="5"/>
  <c r="A18" i="5"/>
  <c r="E17" i="5"/>
  <c r="D17" i="5"/>
  <c r="C17" i="5"/>
  <c r="B17" i="5"/>
  <c r="E39" i="4"/>
  <c r="E38" i="4"/>
  <c r="E37" i="4"/>
  <c r="E36" i="4"/>
  <c r="E35" i="4"/>
  <c r="E34" i="4"/>
  <c r="E31" i="4"/>
  <c r="E30" i="4"/>
  <c r="E29" i="4"/>
  <c r="E28" i="4"/>
  <c r="E27" i="4"/>
  <c r="E26" i="4"/>
  <c r="E25" i="4"/>
  <c r="E24" i="4"/>
  <c r="E23" i="4"/>
  <c r="E20" i="4"/>
  <c r="E19" i="4"/>
  <c r="E18" i="4"/>
  <c r="E17" i="4"/>
  <c r="E16" i="4"/>
  <c r="E15" i="4"/>
  <c r="E14" i="4"/>
  <c r="E13" i="4"/>
  <c r="E12" i="4"/>
  <c r="E11" i="4"/>
  <c r="E10" i="4"/>
  <c r="A1" i="1"/>
  <c r="F76" i="20"/>
  <c r="E48" i="20"/>
  <c r="E49" i="20" s="1"/>
  <c r="E50" i="20" s="1"/>
  <c r="E51" i="20" s="1"/>
  <c r="E52" i="20" s="1"/>
  <c r="E53" i="20" s="1"/>
  <c r="E54" i="20" s="1"/>
  <c r="E55" i="20" s="1"/>
  <c r="E56" i="20" s="1"/>
  <c r="E57" i="20" s="1"/>
  <c r="E58" i="20" s="1"/>
  <c r="E59" i="20" s="1"/>
  <c r="E60" i="20" s="1"/>
  <c r="E61" i="20" s="1"/>
  <c r="E62" i="20" s="1"/>
  <c r="E63" i="20" s="1"/>
  <c r="E64" i="20" s="1"/>
  <c r="E65" i="20" s="1"/>
  <c r="E66" i="20" s="1"/>
  <c r="E67" i="20" s="1"/>
  <c r="E68" i="20" s="1"/>
  <c r="F6" i="10"/>
  <c r="B15" i="20"/>
  <c r="L7" i="20"/>
  <c r="K7" i="20"/>
  <c r="Z7" i="20" s="1"/>
  <c r="AC7" i="20" s="1"/>
  <c r="E7" i="20"/>
  <c r="B21" i="8" s="1"/>
  <c r="H91" i="7" s="1"/>
  <c r="D7" i="20"/>
  <c r="A83" i="7" s="1"/>
  <c r="L6" i="20"/>
  <c r="K6" i="20"/>
  <c r="X6" i="20" s="1"/>
  <c r="AA6" i="20" s="1"/>
  <c r="E6" i="20"/>
  <c r="F6" i="20" s="1"/>
  <c r="D6" i="20"/>
  <c r="A65" i="7" s="1"/>
  <c r="L5" i="20"/>
  <c r="K5" i="20"/>
  <c r="Y5" i="20" s="1"/>
  <c r="AB5" i="20" s="1"/>
  <c r="E5" i="20"/>
  <c r="B19" i="8" s="1"/>
  <c r="D5" i="20"/>
  <c r="A47" i="7" s="1"/>
  <c r="L4" i="20"/>
  <c r="K4" i="20"/>
  <c r="E4" i="20"/>
  <c r="F4" i="20" s="1"/>
  <c r="D4" i="20"/>
  <c r="A29" i="7" s="1"/>
  <c r="E3" i="20"/>
  <c r="F3" i="20" s="1"/>
  <c r="D3" i="20"/>
  <c r="A12" i="7" s="1"/>
  <c r="G20" i="5" l="1"/>
  <c r="F8" i="10"/>
  <c r="O6" i="20" s="1"/>
  <c r="F9" i="10"/>
  <c r="O7" i="20" s="1"/>
  <c r="L9" i="20"/>
  <c r="L11" i="20" s="1"/>
  <c r="O12" i="20" s="1"/>
  <c r="B14" i="9" s="1"/>
  <c r="C14" i="9" s="1"/>
  <c r="G10" i="10"/>
  <c r="B17" i="9"/>
  <c r="C17" i="9" s="1"/>
  <c r="D17" i="9" s="1"/>
  <c r="E17" i="9" s="1"/>
  <c r="F17" i="9" s="1"/>
  <c r="G17" i="9" s="1"/>
  <c r="B25" i="9"/>
  <c r="C25" i="9" s="1"/>
  <c r="D25" i="9" s="1"/>
  <c r="E25" i="9" s="1"/>
  <c r="E40" i="4"/>
  <c r="B16" i="15" s="1"/>
  <c r="E32" i="4"/>
  <c r="B15" i="15" s="1"/>
  <c r="I27" i="7"/>
  <c r="H54" i="7"/>
  <c r="B29" i="8" s="1"/>
  <c r="B39" i="8" s="1"/>
  <c r="P4" i="20"/>
  <c r="P8" i="20" s="1"/>
  <c r="A19" i="8"/>
  <c r="A29" i="8" s="1"/>
  <c r="A39" i="8" s="1"/>
  <c r="A49" i="8" s="1"/>
  <c r="A59" i="8" s="1"/>
  <c r="A69" i="8" s="1"/>
  <c r="A79" i="8" s="1"/>
  <c r="A12" i="17"/>
  <c r="A21" i="17" s="1"/>
  <c r="A30" i="17" s="1"/>
  <c r="A18" i="8"/>
  <c r="A28" i="8" s="1"/>
  <c r="A38" i="8" s="1"/>
  <c r="A48" i="8" s="1"/>
  <c r="A58" i="8" s="1"/>
  <c r="A68" i="8" s="1"/>
  <c r="A78" i="8" s="1"/>
  <c r="A11" i="17"/>
  <c r="A20" i="17" s="1"/>
  <c r="A29" i="17" s="1"/>
  <c r="A20" i="8"/>
  <c r="A30" i="8" s="1"/>
  <c r="A40" i="8" s="1"/>
  <c r="A50" i="8" s="1"/>
  <c r="A60" i="8" s="1"/>
  <c r="A70" i="8" s="1"/>
  <c r="A80" i="8" s="1"/>
  <c r="A13" i="17"/>
  <c r="A22" i="17" s="1"/>
  <c r="A31" i="17" s="1"/>
  <c r="A17" i="8"/>
  <c r="A27" i="8" s="1"/>
  <c r="A37" i="8" s="1"/>
  <c r="A47" i="8" s="1"/>
  <c r="A57" i="8" s="1"/>
  <c r="A67" i="8" s="1"/>
  <c r="A77" i="8" s="1"/>
  <c r="A10" i="17"/>
  <c r="A19" i="17" s="1"/>
  <c r="A28" i="17" s="1"/>
  <c r="A21" i="8"/>
  <c r="A31" i="8" s="1"/>
  <c r="A41" i="8" s="1"/>
  <c r="A51" i="8" s="1"/>
  <c r="A61" i="8" s="1"/>
  <c r="A71" i="8" s="1"/>
  <c r="A81" i="8" s="1"/>
  <c r="A14" i="17"/>
  <c r="A23" i="17" s="1"/>
  <c r="A32" i="17" s="1"/>
  <c r="I28" i="7"/>
  <c r="J16" i="10"/>
  <c r="L16" i="10" s="1"/>
  <c r="B18" i="9"/>
  <c r="C18" i="9" s="1"/>
  <c r="D18" i="9" s="1"/>
  <c r="E18" i="9" s="1"/>
  <c r="F18" i="9" s="1"/>
  <c r="G18" i="9" s="1"/>
  <c r="H72" i="7"/>
  <c r="B30" i="8" s="1"/>
  <c r="B60" i="8" s="1"/>
  <c r="CX16" i="24"/>
  <c r="DL16" i="24"/>
  <c r="B39" i="11"/>
  <c r="C39" i="11" s="1"/>
  <c r="D39" i="11" s="1"/>
  <c r="E39" i="11" s="1"/>
  <c r="F39" i="11" s="1"/>
  <c r="G39" i="11" s="1"/>
  <c r="H10" i="10"/>
  <c r="H90" i="7"/>
  <c r="H92" i="7" s="1"/>
  <c r="H93" i="7" s="1"/>
  <c r="I65" i="7"/>
  <c r="H36" i="7"/>
  <c r="B28" i="8" s="1"/>
  <c r="B58" i="8" s="1"/>
  <c r="G18" i="5"/>
  <c r="E21" i="4"/>
  <c r="D7" i="4" s="1"/>
  <c r="H99" i="20"/>
  <c r="J99" i="20" s="1"/>
  <c r="K99" i="20" s="1"/>
  <c r="L10" i="10"/>
  <c r="D10" i="10"/>
  <c r="Q6" i="20"/>
  <c r="Q8" i="20" s="1"/>
  <c r="I10" i="10"/>
  <c r="J10" i="10"/>
  <c r="K12" i="7"/>
  <c r="E11" i="7"/>
  <c r="F11" i="7" s="1"/>
  <c r="E10" i="7"/>
  <c r="F10" i="7" s="1"/>
  <c r="H19" i="7"/>
  <c r="B27" i="8" s="1"/>
  <c r="G19" i="5"/>
  <c r="G22" i="5"/>
  <c r="G21" i="5"/>
  <c r="A1" i="4"/>
  <c r="A1" i="19" s="1"/>
  <c r="A1" i="15"/>
  <c r="A1" i="14"/>
  <c r="J64" i="7"/>
  <c r="F64" i="7"/>
  <c r="K64" i="7" s="1"/>
  <c r="I81" i="7"/>
  <c r="I82" i="7"/>
  <c r="I10" i="7"/>
  <c r="I62" i="7"/>
  <c r="E46" i="7"/>
  <c r="J28" i="7"/>
  <c r="F28" i="7"/>
  <c r="Y4" i="20"/>
  <c r="AB4" i="20" s="1"/>
  <c r="B18" i="8"/>
  <c r="H37" i="7" s="1"/>
  <c r="I26" i="7"/>
  <c r="I63" i="7"/>
  <c r="O4" i="20"/>
  <c r="M6" i="10"/>
  <c r="D19" i="7"/>
  <c r="N8" i="20"/>
  <c r="D49" i="20"/>
  <c r="F5" i="20"/>
  <c r="G5" i="20" s="1"/>
  <c r="D19" i="8" s="1"/>
  <c r="F7" i="20"/>
  <c r="M20" i="21" s="1"/>
  <c r="I11" i="7"/>
  <c r="B51" i="8"/>
  <c r="B23" i="17" s="1"/>
  <c r="F7" i="10"/>
  <c r="E9" i="7"/>
  <c r="I12" i="7"/>
  <c r="L8" i="20"/>
  <c r="Y7" i="20"/>
  <c r="AB7" i="20" s="1"/>
  <c r="B17" i="8"/>
  <c r="I29" i="7"/>
  <c r="D36" i="7"/>
  <c r="T8" i="20"/>
  <c r="R5" i="20"/>
  <c r="R8" i="20" s="1"/>
  <c r="U5" i="20"/>
  <c r="U8" i="20" s="1"/>
  <c r="S5" i="20"/>
  <c r="S8" i="20" s="1"/>
  <c r="K10" i="10"/>
  <c r="E10" i="10"/>
  <c r="I19" i="10"/>
  <c r="M5" i="20"/>
  <c r="M8" i="20" s="1"/>
  <c r="F26" i="7"/>
  <c r="K26" i="7" s="1"/>
  <c r="J26" i="7"/>
  <c r="E44" i="7"/>
  <c r="F62" i="7"/>
  <c r="J62" i="7"/>
  <c r="D72" i="7"/>
  <c r="J82" i="7"/>
  <c r="F82" i="7"/>
  <c r="J80" i="7"/>
  <c r="F80" i="7"/>
  <c r="J81" i="7"/>
  <c r="F81" i="7"/>
  <c r="E83" i="7"/>
  <c r="I80" i="7"/>
  <c r="D90" i="7"/>
  <c r="F65" i="7"/>
  <c r="J65" i="7"/>
  <c r="J63" i="7"/>
  <c r="E72" i="7"/>
  <c r="F63" i="7"/>
  <c r="I64" i="7"/>
  <c r="F47" i="7"/>
  <c r="J47" i="7"/>
  <c r="J45" i="7"/>
  <c r="F45" i="7"/>
  <c r="I47" i="7"/>
  <c r="D54" i="7"/>
  <c r="I45" i="7"/>
  <c r="F29" i="7"/>
  <c r="J29" i="7"/>
  <c r="J27" i="7"/>
  <c r="F27" i="7"/>
  <c r="E36" i="7"/>
  <c r="D66" i="24"/>
  <c r="E66" i="24"/>
  <c r="G6" i="20"/>
  <c r="F28" i="21" s="1"/>
  <c r="C20" i="8"/>
  <c r="B19" i="21"/>
  <c r="B20" i="8"/>
  <c r="H19" i="21"/>
  <c r="H55" i="7"/>
  <c r="B49" i="8"/>
  <c r="B21" i="17" s="1"/>
  <c r="C18" i="8"/>
  <c r="G4" i="20"/>
  <c r="H26" i="21" s="1"/>
  <c r="E17" i="21"/>
  <c r="M17" i="21"/>
  <c r="F17" i="21"/>
  <c r="G17" i="21"/>
  <c r="I17" i="21"/>
  <c r="J17" i="21"/>
  <c r="C17" i="21"/>
  <c r="K17" i="21"/>
  <c r="G3" i="20"/>
  <c r="L25" i="21" s="1"/>
  <c r="C17" i="8"/>
  <c r="E16" i="21"/>
  <c r="M16" i="21"/>
  <c r="F16" i="21"/>
  <c r="E25" i="6"/>
  <c r="E34" i="6" s="1"/>
  <c r="E43" i="6" s="1"/>
  <c r="C12" i="21"/>
  <c r="K12" i="21"/>
  <c r="L12" i="21"/>
  <c r="H28" i="6"/>
  <c r="H37" i="6" s="1"/>
  <c r="J19" i="21"/>
  <c r="D12" i="21"/>
  <c r="H17" i="21"/>
  <c r="E12" i="21"/>
  <c r="M12" i="21"/>
  <c r="O9" i="21"/>
  <c r="P9" i="21" s="1"/>
  <c r="F21" i="6"/>
  <c r="F62" i="6" s="1"/>
  <c r="I26" i="6"/>
  <c r="F12" i="21"/>
  <c r="N11" i="21"/>
  <c r="G21" i="6"/>
  <c r="G62" i="6" s="1"/>
  <c r="G12" i="21"/>
  <c r="H21" i="6"/>
  <c r="H62" i="6" s="1"/>
  <c r="H12" i="21"/>
  <c r="O8" i="21"/>
  <c r="P8" i="21" s="1"/>
  <c r="D27" i="6"/>
  <c r="I12" i="21"/>
  <c r="L27" i="6"/>
  <c r="B12" i="21"/>
  <c r="K36" i="6"/>
  <c r="G46" i="6"/>
  <c r="H35" i="6"/>
  <c r="C36" i="6"/>
  <c r="F37" i="6"/>
  <c r="D29" i="6"/>
  <c r="O11" i="21"/>
  <c r="P11" i="21" s="1"/>
  <c r="I19" i="21"/>
  <c r="I28" i="6"/>
  <c r="L29" i="6"/>
  <c r="I25" i="6"/>
  <c r="I16" i="21"/>
  <c r="D17" i="21"/>
  <c r="D26" i="6"/>
  <c r="L17" i="21"/>
  <c r="L26" i="6"/>
  <c r="G27" i="6"/>
  <c r="J37" i="6"/>
  <c r="J34" i="6"/>
  <c r="C37" i="6"/>
  <c r="K37" i="6"/>
  <c r="I21" i="6"/>
  <c r="I62" i="6" s="1"/>
  <c r="J12" i="21"/>
  <c r="O10" i="21"/>
  <c r="P10" i="21" s="1"/>
  <c r="C34" i="6"/>
  <c r="K34" i="6"/>
  <c r="I36" i="6"/>
  <c r="D37" i="6"/>
  <c r="L37" i="6"/>
  <c r="D34" i="6"/>
  <c r="L34" i="6"/>
  <c r="J36" i="6"/>
  <c r="E37" i="6"/>
  <c r="M37" i="6"/>
  <c r="M34" i="6"/>
  <c r="C7" i="8"/>
  <c r="C10" i="17" s="1"/>
  <c r="C10" i="8"/>
  <c r="C13" i="17" s="1"/>
  <c r="J21" i="6"/>
  <c r="J62" i="6" s="1"/>
  <c r="F25" i="6"/>
  <c r="J26" i="6"/>
  <c r="E27" i="6"/>
  <c r="M27" i="6"/>
  <c r="E29" i="6"/>
  <c r="M29" i="6"/>
  <c r="N7" i="21"/>
  <c r="G16" i="21"/>
  <c r="C19" i="21"/>
  <c r="K19" i="21"/>
  <c r="C21" i="6"/>
  <c r="C62" i="6" s="1"/>
  <c r="K21" i="6"/>
  <c r="K62" i="6" s="1"/>
  <c r="G25" i="6"/>
  <c r="C26" i="6"/>
  <c r="K26" i="6"/>
  <c r="F27" i="6"/>
  <c r="F29" i="6"/>
  <c r="H16" i="21"/>
  <c r="D19" i="21"/>
  <c r="L19" i="21"/>
  <c r="D21" i="6"/>
  <c r="D62" i="6" s="1"/>
  <c r="L21" i="6"/>
  <c r="L62" i="6" s="1"/>
  <c r="H25" i="6"/>
  <c r="G29" i="6"/>
  <c r="E19" i="21"/>
  <c r="M19" i="21"/>
  <c r="E21" i="6"/>
  <c r="E62" i="6" s="1"/>
  <c r="M21" i="6"/>
  <c r="M62" i="6" s="1"/>
  <c r="E26" i="6"/>
  <c r="M26" i="6"/>
  <c r="H27" i="6"/>
  <c r="H29" i="6"/>
  <c r="N8" i="21"/>
  <c r="N9" i="21"/>
  <c r="N10" i="21"/>
  <c r="J16" i="21"/>
  <c r="F19" i="21"/>
  <c r="F26" i="6"/>
  <c r="I29" i="6"/>
  <c r="O7" i="21"/>
  <c r="C16" i="21"/>
  <c r="K16" i="21"/>
  <c r="G19" i="21"/>
  <c r="C9" i="8"/>
  <c r="C12" i="17" s="1"/>
  <c r="C11" i="8"/>
  <c r="C14" i="17" s="1"/>
  <c r="G26" i="6"/>
  <c r="J29" i="6"/>
  <c r="D16" i="21"/>
  <c r="L16" i="21"/>
  <c r="N18" i="6"/>
  <c r="O18" i="6" s="1"/>
  <c r="P18" i="6" s="1"/>
  <c r="C29" i="6"/>
  <c r="K29" i="6"/>
  <c r="CN69" i="24"/>
  <c r="DE69" i="24"/>
  <c r="H27" i="24"/>
  <c r="AK27" i="24"/>
  <c r="BK27" i="24"/>
  <c r="CU27" i="24"/>
  <c r="CH69" i="24"/>
  <c r="CX69" i="24"/>
  <c r="DF69" i="24"/>
  <c r="DH15" i="24"/>
  <c r="DI14" i="24" s="1"/>
  <c r="M27" i="24"/>
  <c r="AN27" i="24"/>
  <c r="BQ27" i="24"/>
  <c r="CW27" i="24"/>
  <c r="CQ69" i="24"/>
  <c r="DG69" i="24"/>
  <c r="DO69" i="24"/>
  <c r="CK69" i="24"/>
  <c r="DA69" i="24"/>
  <c r="DI69" i="24"/>
  <c r="AW27" i="24"/>
  <c r="BZ27" i="24"/>
  <c r="DI27" i="24"/>
  <c r="AA27" i="24"/>
  <c r="BC27" i="24"/>
  <c r="CE27" i="24"/>
  <c r="DP27" i="24"/>
  <c r="N20" i="6"/>
  <c r="O20" i="6" s="1"/>
  <c r="P20" i="6" s="1"/>
  <c r="B29" i="6"/>
  <c r="B28" i="6"/>
  <c r="N19" i="6"/>
  <c r="O19" i="6" s="1"/>
  <c r="P19" i="6" s="1"/>
  <c r="B36" i="6"/>
  <c r="B12" i="8"/>
  <c r="B15" i="17" s="1"/>
  <c r="B35" i="6"/>
  <c r="B17" i="21"/>
  <c r="N17" i="6"/>
  <c r="O17" i="6" s="1"/>
  <c r="P17" i="6" s="1"/>
  <c r="C8" i="8"/>
  <c r="C11" i="17" s="1"/>
  <c r="P7" i="6"/>
  <c r="P12" i="6" s="1"/>
  <c r="O12" i="6"/>
  <c r="N12" i="6"/>
  <c r="N16" i="6"/>
  <c r="B16" i="21"/>
  <c r="B21" i="6"/>
  <c r="B62" i="6" s="1"/>
  <c r="B25" i="6"/>
  <c r="CM16" i="24"/>
  <c r="AR15" i="24"/>
  <c r="AS14" i="24" s="1"/>
  <c r="BC15" i="24"/>
  <c r="BD14" i="24" s="1"/>
  <c r="DN16" i="24"/>
  <c r="DF15" i="24"/>
  <c r="DG14" i="24" s="1"/>
  <c r="A1" i="8"/>
  <c r="BD15" i="24"/>
  <c r="BE14" i="24" s="1"/>
  <c r="AU16" i="24"/>
  <c r="CF15" i="24"/>
  <c r="CG14" i="24" s="1"/>
  <c r="BI16" i="24"/>
  <c r="CG15" i="24"/>
  <c r="CH14" i="24" s="1"/>
  <c r="BJ16" i="24"/>
  <c r="CS15" i="24"/>
  <c r="CT14" i="24" s="1"/>
  <c r="CK16" i="24"/>
  <c r="D13" i="24"/>
  <c r="E13" i="24"/>
  <c r="AS15" i="24"/>
  <c r="AT14" i="24" s="1"/>
  <c r="CU15" i="24"/>
  <c r="CV14" i="24" s="1"/>
  <c r="AV16" i="24"/>
  <c r="CY16" i="24"/>
  <c r="BP15" i="24"/>
  <c r="BQ14" i="24" s="1"/>
  <c r="BU16" i="24"/>
  <c r="BS15" i="24"/>
  <c r="BT14" i="24" s="1"/>
  <c r="BX16" i="24"/>
  <c r="D28" i="24"/>
  <c r="F24" i="24"/>
  <c r="AT15" i="24"/>
  <c r="AU14" i="24" s="1"/>
  <c r="BE15" i="24"/>
  <c r="BF14" i="24" s="1"/>
  <c r="BU15" i="24"/>
  <c r="BV14" i="24" s="1"/>
  <c r="CH15" i="24"/>
  <c r="CI14" i="24" s="1"/>
  <c r="CV15" i="24"/>
  <c r="CW14" i="24" s="1"/>
  <c r="DL15" i="24"/>
  <c r="DM14" i="24" s="1"/>
  <c r="AY16" i="24"/>
  <c r="BK16" i="24"/>
  <c r="CA16" i="24"/>
  <c r="CN16" i="24"/>
  <c r="DA16" i="24"/>
  <c r="DP16" i="24"/>
  <c r="E27" i="24"/>
  <c r="R27" i="24"/>
  <c r="AE27" i="24"/>
  <c r="AU27" i="24"/>
  <c r="BG27" i="24"/>
  <c r="BU27" i="24"/>
  <c r="CK27" i="24"/>
  <c r="CX27" i="24"/>
  <c r="DJ27" i="24"/>
  <c r="AU15" i="24"/>
  <c r="AV14" i="24" s="1"/>
  <c r="BI15" i="24"/>
  <c r="BJ14" i="24" s="1"/>
  <c r="BW15" i="24"/>
  <c r="BX14" i="24" s="1"/>
  <c r="CJ15" i="24"/>
  <c r="CK14" i="24" s="1"/>
  <c r="CX15" i="24"/>
  <c r="CY14" i="24" s="1"/>
  <c r="DM15" i="24"/>
  <c r="DN14" i="24" s="1"/>
  <c r="AZ16" i="24"/>
  <c r="BM16" i="24"/>
  <c r="CB16" i="24"/>
  <c r="CO16" i="24"/>
  <c r="DD16" i="24"/>
  <c r="G27" i="24"/>
  <c r="S27" i="24"/>
  <c r="AH27" i="24"/>
  <c r="AV27" i="24"/>
  <c r="BJ27" i="24"/>
  <c r="BW27" i="24"/>
  <c r="CL27" i="24"/>
  <c r="CY27" i="24"/>
  <c r="DN27" i="24"/>
  <c r="DR16" i="24"/>
  <c r="DJ16" i="24"/>
  <c r="DB16" i="24"/>
  <c r="CT16" i="24"/>
  <c r="CL16" i="24"/>
  <c r="CD16" i="24"/>
  <c r="BV16" i="24"/>
  <c r="BN16" i="24"/>
  <c r="BF16" i="24"/>
  <c r="AX16" i="24"/>
  <c r="AP16" i="24"/>
  <c r="DR15" i="24"/>
  <c r="DS14" i="24" s="1"/>
  <c r="DJ15" i="24"/>
  <c r="DK14" i="24" s="1"/>
  <c r="DB15" i="24"/>
  <c r="DC14" i="24" s="1"/>
  <c r="CT15" i="24"/>
  <c r="CU14" i="24" s="1"/>
  <c r="CL15" i="24"/>
  <c r="CM14" i="24" s="1"/>
  <c r="CD15" i="24"/>
  <c r="CE14" i="24" s="1"/>
  <c r="BV15" i="24"/>
  <c r="BW14" i="24" s="1"/>
  <c r="BN15" i="24"/>
  <c r="BO14" i="24" s="1"/>
  <c r="BF15" i="24"/>
  <c r="BG14" i="24" s="1"/>
  <c r="DS16" i="24"/>
  <c r="DI16" i="24"/>
  <c r="CZ16" i="24"/>
  <c r="CQ16" i="24"/>
  <c r="CH16" i="24"/>
  <c r="BY16" i="24"/>
  <c r="BP16" i="24"/>
  <c r="BG16" i="24"/>
  <c r="AW16" i="24"/>
  <c r="AN16" i="24"/>
  <c r="DK15" i="24"/>
  <c r="DL14" i="24" s="1"/>
  <c r="DA15" i="24"/>
  <c r="DB14" i="24" s="1"/>
  <c r="CR15" i="24"/>
  <c r="CS14" i="24" s="1"/>
  <c r="CI15" i="24"/>
  <c r="CJ14" i="24" s="1"/>
  <c r="BZ15" i="24"/>
  <c r="CA14" i="24" s="1"/>
  <c r="BQ15" i="24"/>
  <c r="BR14" i="24" s="1"/>
  <c r="BH15" i="24"/>
  <c r="BI14" i="24" s="1"/>
  <c r="AY15" i="24"/>
  <c r="AZ14" i="24" s="1"/>
  <c r="AQ15" i="24"/>
  <c r="AR14" i="24" s="1"/>
  <c r="DO16" i="24"/>
  <c r="DE16" i="24"/>
  <c r="CU16" i="24"/>
  <c r="CJ16" i="24"/>
  <c r="BZ16" i="24"/>
  <c r="BO16" i="24"/>
  <c r="BD16" i="24"/>
  <c r="AT16" i="24"/>
  <c r="DI15" i="24"/>
  <c r="DJ14" i="24" s="1"/>
  <c r="CY15" i="24"/>
  <c r="CZ14" i="24" s="1"/>
  <c r="CO15" i="24"/>
  <c r="CP14" i="24" s="1"/>
  <c r="CE15" i="24"/>
  <c r="CF14" i="24" s="1"/>
  <c r="BT15" i="24"/>
  <c r="BU14" i="24" s="1"/>
  <c r="BJ15" i="24"/>
  <c r="BK14" i="24" s="1"/>
  <c r="AZ15" i="24"/>
  <c r="BA14" i="24" s="1"/>
  <c r="AP15" i="24"/>
  <c r="AQ14" i="24" s="1"/>
  <c r="DM16" i="24"/>
  <c r="DC16" i="24"/>
  <c r="CR16" i="24"/>
  <c r="CG16" i="24"/>
  <c r="BW16" i="24"/>
  <c r="BL16" i="24"/>
  <c r="BB16" i="24"/>
  <c r="AR16" i="24"/>
  <c r="DQ15" i="24"/>
  <c r="DR14" i="24" s="1"/>
  <c r="DG15" i="24"/>
  <c r="DH14" i="24" s="1"/>
  <c r="CW15" i="24"/>
  <c r="CX14" i="24" s="1"/>
  <c r="CM15" i="24"/>
  <c r="CN14" i="24" s="1"/>
  <c r="CB15" i="24"/>
  <c r="CC14" i="24" s="1"/>
  <c r="BR15" i="24"/>
  <c r="BS14" i="24" s="1"/>
  <c r="BG15" i="24"/>
  <c r="BH14" i="24" s="1"/>
  <c r="AW15" i="24"/>
  <c r="AX14" i="24" s="1"/>
  <c r="AN15" i="24"/>
  <c r="AO14" i="24" s="1"/>
  <c r="AV15" i="24"/>
  <c r="AW14" i="24" s="1"/>
  <c r="BK15" i="24"/>
  <c r="BL14" i="24" s="1"/>
  <c r="BX15" i="24"/>
  <c r="BY14" i="24" s="1"/>
  <c r="CK15" i="24"/>
  <c r="CL14" i="24" s="1"/>
  <c r="CZ15" i="24"/>
  <c r="DA14" i="24" s="1"/>
  <c r="DN15" i="24"/>
  <c r="DO14" i="24" s="1"/>
  <c r="BA16" i="24"/>
  <c r="BQ16" i="24"/>
  <c r="CC16" i="24"/>
  <c r="CP16" i="24"/>
  <c r="DF16" i="24"/>
  <c r="AX15" i="24"/>
  <c r="AY14" i="24" s="1"/>
  <c r="BL15" i="24"/>
  <c r="BM14" i="24" s="1"/>
  <c r="BY15" i="24"/>
  <c r="BZ14" i="24" s="1"/>
  <c r="CN15" i="24"/>
  <c r="CO14" i="24" s="1"/>
  <c r="DC15" i="24"/>
  <c r="DD14" i="24" s="1"/>
  <c r="DO15" i="24"/>
  <c r="DP14" i="24" s="1"/>
  <c r="AO16" i="24"/>
  <c r="BC16" i="24"/>
  <c r="BR16" i="24"/>
  <c r="CE16" i="24"/>
  <c r="CS16" i="24"/>
  <c r="DG16" i="24"/>
  <c r="I27" i="24"/>
  <c r="W27" i="24"/>
  <c r="AL27" i="24"/>
  <c r="AX27" i="24"/>
  <c r="BM27" i="24"/>
  <c r="CB27" i="24"/>
  <c r="CO27" i="24"/>
  <c r="DC27" i="24"/>
  <c r="BA15" i="24"/>
  <c r="BB14" i="24" s="1"/>
  <c r="BM15" i="24"/>
  <c r="BN14" i="24" s="1"/>
  <c r="CA15" i="24"/>
  <c r="CB14" i="24" s="1"/>
  <c r="CP15" i="24"/>
  <c r="CQ14" i="24" s="1"/>
  <c r="DD15" i="24"/>
  <c r="DE14" i="24" s="1"/>
  <c r="DP15" i="24"/>
  <c r="DQ14" i="24" s="1"/>
  <c r="DQ13" i="24" s="1"/>
  <c r="AQ16" i="24"/>
  <c r="BE16" i="24"/>
  <c r="BS16" i="24"/>
  <c r="CF16" i="24"/>
  <c r="CV16" i="24"/>
  <c r="DH16" i="24"/>
  <c r="DL27" i="24"/>
  <c r="DD27" i="24"/>
  <c r="CV27" i="24"/>
  <c r="CN27" i="24"/>
  <c r="CF27" i="24"/>
  <c r="BX27" i="24"/>
  <c r="BP27" i="24"/>
  <c r="BH27" i="24"/>
  <c r="AZ27" i="24"/>
  <c r="AR27" i="24"/>
  <c r="AJ27" i="24"/>
  <c r="AB27" i="24"/>
  <c r="T27" i="24"/>
  <c r="L27" i="24"/>
  <c r="D27" i="24"/>
  <c r="D29" i="24" s="1"/>
  <c r="DK27" i="24"/>
  <c r="DB27" i="24"/>
  <c r="CS27" i="24"/>
  <c r="CJ27" i="24"/>
  <c r="CA27" i="24"/>
  <c r="BR27" i="24"/>
  <c r="BI27" i="24"/>
  <c r="AY27" i="24"/>
  <c r="AP27" i="24"/>
  <c r="AG27" i="24"/>
  <c r="X27" i="24"/>
  <c r="O27" i="24"/>
  <c r="F27" i="24"/>
  <c r="DO27" i="24"/>
  <c r="DE27" i="24"/>
  <c r="CT27" i="24"/>
  <c r="CI27" i="24"/>
  <c r="BY27" i="24"/>
  <c r="BN27" i="24"/>
  <c r="BD27" i="24"/>
  <c r="AT27" i="24"/>
  <c r="AI27" i="24"/>
  <c r="Y27" i="24"/>
  <c r="N27" i="24"/>
  <c r="DM27" i="24"/>
  <c r="DA27" i="24"/>
  <c r="CQ27" i="24"/>
  <c r="CG27" i="24"/>
  <c r="BV27" i="24"/>
  <c r="BL27" i="24"/>
  <c r="BB27" i="24"/>
  <c r="AQ27" i="24"/>
  <c r="AF27" i="24"/>
  <c r="V27" i="24"/>
  <c r="K27" i="24"/>
  <c r="J27" i="24"/>
  <c r="Z27" i="24"/>
  <c r="AM27" i="24"/>
  <c r="BA27" i="24"/>
  <c r="BO27" i="24"/>
  <c r="CC27" i="24"/>
  <c r="CP27" i="24"/>
  <c r="DF27" i="24"/>
  <c r="DR27" i="24"/>
  <c r="AO15" i="24"/>
  <c r="AP14" i="24" s="1"/>
  <c r="BB15" i="24"/>
  <c r="BC14" i="24" s="1"/>
  <c r="BO15" i="24"/>
  <c r="BP14" i="24" s="1"/>
  <c r="CC15" i="24"/>
  <c r="CD14" i="24" s="1"/>
  <c r="CQ15" i="24"/>
  <c r="CR14" i="24" s="1"/>
  <c r="DE15" i="24"/>
  <c r="DF14" i="24" s="1"/>
  <c r="DS15" i="24"/>
  <c r="AS16" i="24"/>
  <c r="BH16" i="24"/>
  <c r="BT16" i="24"/>
  <c r="CI16" i="24"/>
  <c r="CW16" i="24"/>
  <c r="DK16" i="24"/>
  <c r="CD27" i="24"/>
  <c r="CR27" i="24"/>
  <c r="DG27" i="24"/>
  <c r="DS27" i="24"/>
  <c r="B79" i="8" l="1"/>
  <c r="B30" i="17" s="1"/>
  <c r="H97" i="20"/>
  <c r="J97" i="20" s="1"/>
  <c r="K97" i="20" s="1"/>
  <c r="B59" i="8"/>
  <c r="B69" i="8" s="1"/>
  <c r="H56" i="7"/>
  <c r="H57" i="7" s="1"/>
  <c r="M8" i="10"/>
  <c r="N8" i="10" s="1"/>
  <c r="W6" i="20" s="1"/>
  <c r="F25" i="9"/>
  <c r="M9" i="10"/>
  <c r="N9" i="10" s="1"/>
  <c r="W7" i="20" s="1"/>
  <c r="F10" i="10"/>
  <c r="H95" i="20"/>
  <c r="J95" i="20" s="1"/>
  <c r="K95" i="20" s="1"/>
  <c r="E7" i="4"/>
  <c r="B31" i="8"/>
  <c r="B61" i="8" s="1"/>
  <c r="B71" i="8" s="1"/>
  <c r="H38" i="7"/>
  <c r="H39" i="7" s="1"/>
  <c r="C20" i="21"/>
  <c r="G64" i="7"/>
  <c r="L64" i="7" s="1"/>
  <c r="I54" i="7"/>
  <c r="C29" i="8" s="1"/>
  <c r="C59" i="8" s="1"/>
  <c r="L20" i="21"/>
  <c r="DL13" i="24"/>
  <c r="H5" i="20"/>
  <c r="I36" i="21" s="1"/>
  <c r="CX13" i="24"/>
  <c r="B77" i="8"/>
  <c r="B28" i="17" s="1"/>
  <c r="B14" i="15"/>
  <c r="A1" i="5"/>
  <c r="A1" i="9"/>
  <c r="A1" i="6"/>
  <c r="A1" i="22" s="1"/>
  <c r="A1" i="21" s="1"/>
  <c r="A1" i="10" s="1"/>
  <c r="G11" i="7"/>
  <c r="L11" i="7" s="1"/>
  <c r="K11" i="7"/>
  <c r="J11" i="7"/>
  <c r="G10" i="7"/>
  <c r="L10" i="7" s="1"/>
  <c r="K10" i="7"/>
  <c r="J10" i="7"/>
  <c r="J9" i="7"/>
  <c r="F9" i="7"/>
  <c r="I72" i="7"/>
  <c r="C30" i="8" s="1"/>
  <c r="C60" i="8" s="1"/>
  <c r="B37" i="8"/>
  <c r="B57" i="8"/>
  <c r="D30" i="6"/>
  <c r="D65" i="6" s="1"/>
  <c r="G18" i="21"/>
  <c r="M18" i="21"/>
  <c r="M21" i="21" s="1"/>
  <c r="L18" i="21"/>
  <c r="K18" i="21"/>
  <c r="D27" i="21"/>
  <c r="D18" i="21"/>
  <c r="E18" i="21"/>
  <c r="C18" i="21"/>
  <c r="C27" i="21"/>
  <c r="A1" i="13"/>
  <c r="A1" i="12"/>
  <c r="A1" i="11"/>
  <c r="A1" i="24" s="1"/>
  <c r="E28" i="21"/>
  <c r="B18" i="21"/>
  <c r="G20" i="21"/>
  <c r="L28" i="21"/>
  <c r="K27" i="21"/>
  <c r="C19" i="8"/>
  <c r="C49" i="8" s="1"/>
  <c r="C21" i="17" s="1"/>
  <c r="J18" i="21"/>
  <c r="I18" i="21"/>
  <c r="H18" i="21"/>
  <c r="B27" i="21"/>
  <c r="J27" i="21"/>
  <c r="I27" i="21"/>
  <c r="L27" i="21"/>
  <c r="F18" i="21"/>
  <c r="J36" i="7"/>
  <c r="D28" i="8" s="1"/>
  <c r="I90" i="7"/>
  <c r="C31" i="8" s="1"/>
  <c r="K20" i="21"/>
  <c r="D25" i="21"/>
  <c r="K25" i="21"/>
  <c r="J25" i="21"/>
  <c r="B38" i="8"/>
  <c r="C25" i="21"/>
  <c r="M25" i="21"/>
  <c r="H20" i="21"/>
  <c r="J46" i="7"/>
  <c r="F46" i="7"/>
  <c r="I19" i="7"/>
  <c r="C27" i="8" s="1"/>
  <c r="C57" i="8" s="1"/>
  <c r="I36" i="7"/>
  <c r="C28" i="8" s="1"/>
  <c r="C58" i="8" s="1"/>
  <c r="E20" i="21"/>
  <c r="I20" i="21"/>
  <c r="B20" i="21"/>
  <c r="K28" i="21"/>
  <c r="G28" i="21"/>
  <c r="J72" i="7"/>
  <c r="D30" i="8" s="1"/>
  <c r="B78" i="8"/>
  <c r="B29" i="17" s="1"/>
  <c r="B48" i="8"/>
  <c r="M28" i="21"/>
  <c r="J20" i="21"/>
  <c r="K28" i="7"/>
  <c r="G28" i="7"/>
  <c r="L28" i="7" s="1"/>
  <c r="C28" i="21"/>
  <c r="F20" i="21"/>
  <c r="D20" i="21"/>
  <c r="O5" i="20"/>
  <c r="O8" i="20" s="1"/>
  <c r="B26" i="21"/>
  <c r="D28" i="21"/>
  <c r="H20" i="7"/>
  <c r="H21" i="7" s="1"/>
  <c r="H22" i="7" s="1"/>
  <c r="M7" i="10"/>
  <c r="J28" i="21"/>
  <c r="G26" i="7"/>
  <c r="L26" i="7" s="1"/>
  <c r="G7" i="20"/>
  <c r="F29" i="21" s="1"/>
  <c r="C21" i="8"/>
  <c r="I91" i="7" s="1"/>
  <c r="B47" i="8"/>
  <c r="B19" i="17" s="1"/>
  <c r="V4" i="20"/>
  <c r="N6" i="10"/>
  <c r="W4" i="20" s="1"/>
  <c r="E19" i="7"/>
  <c r="J12" i="7"/>
  <c r="F44" i="7"/>
  <c r="J44" i="7"/>
  <c r="E54" i="7"/>
  <c r="K62" i="7"/>
  <c r="G62" i="7"/>
  <c r="L62" i="7" s="1"/>
  <c r="J83" i="7"/>
  <c r="J90" i="7" s="1"/>
  <c r="F83" i="7"/>
  <c r="F90" i="7" s="1"/>
  <c r="G81" i="7"/>
  <c r="L81" i="7" s="1"/>
  <c r="K81" i="7"/>
  <c r="E90" i="7"/>
  <c r="G80" i="7"/>
  <c r="K80" i="7"/>
  <c r="G82" i="7"/>
  <c r="L82" i="7" s="1"/>
  <c r="K82" i="7"/>
  <c r="F72" i="7"/>
  <c r="G63" i="7"/>
  <c r="K63" i="7"/>
  <c r="G65" i="7"/>
  <c r="L65" i="7" s="1"/>
  <c r="K65" i="7"/>
  <c r="G45" i="7"/>
  <c r="L45" i="7" s="1"/>
  <c r="K45" i="7"/>
  <c r="G47" i="7"/>
  <c r="L47" i="7" s="1"/>
  <c r="K47" i="7"/>
  <c r="K27" i="7"/>
  <c r="G27" i="7"/>
  <c r="L27" i="7" s="1"/>
  <c r="F36" i="7"/>
  <c r="K29" i="7"/>
  <c r="G29" i="7"/>
  <c r="L29" i="7" s="1"/>
  <c r="E25" i="21"/>
  <c r="H73" i="7"/>
  <c r="H74" i="7" s="1"/>
  <c r="H75" i="7" s="1"/>
  <c r="B80" i="8"/>
  <c r="B31" i="17" s="1"/>
  <c r="B40" i="8"/>
  <c r="B50" i="8"/>
  <c r="B22" i="8"/>
  <c r="I73" i="7"/>
  <c r="H6" i="20"/>
  <c r="H37" i="21" s="1"/>
  <c r="D20" i="8"/>
  <c r="J55" i="7"/>
  <c r="D18" i="8"/>
  <c r="H4" i="20"/>
  <c r="B35" i="21" s="1"/>
  <c r="I37" i="7"/>
  <c r="I20" i="7"/>
  <c r="D17" i="8"/>
  <c r="H3" i="20"/>
  <c r="L34" i="21" s="1"/>
  <c r="H28" i="21"/>
  <c r="O17" i="21"/>
  <c r="P17" i="21" s="1"/>
  <c r="C30" i="6"/>
  <c r="C65" i="6" s="1"/>
  <c r="DI13" i="24"/>
  <c r="N27" i="6"/>
  <c r="O27" i="6" s="1"/>
  <c r="P27" i="6" s="1"/>
  <c r="D36" i="6"/>
  <c r="D45" i="6" s="1"/>
  <c r="L36" i="6"/>
  <c r="L45" i="6" s="1"/>
  <c r="N19" i="21"/>
  <c r="I26" i="21"/>
  <c r="I35" i="6"/>
  <c r="D9" i="8"/>
  <c r="M30" i="6"/>
  <c r="M65" i="6" s="1"/>
  <c r="N12" i="21"/>
  <c r="K35" i="6"/>
  <c r="K26" i="21"/>
  <c r="F25" i="21"/>
  <c r="F30" i="6"/>
  <c r="F65" i="6" s="1"/>
  <c r="F34" i="6"/>
  <c r="M46" i="6"/>
  <c r="L43" i="6"/>
  <c r="J43" i="6"/>
  <c r="C35" i="6"/>
  <c r="C26" i="21"/>
  <c r="L46" i="6"/>
  <c r="K43" i="6"/>
  <c r="J46" i="6"/>
  <c r="D38" i="6"/>
  <c r="C45" i="6"/>
  <c r="L38" i="6"/>
  <c r="N26" i="6"/>
  <c r="O26" i="6" s="1"/>
  <c r="P26" i="6" s="1"/>
  <c r="C50" i="8"/>
  <c r="C22" i="17" s="1"/>
  <c r="I38" i="6"/>
  <c r="H38" i="6"/>
  <c r="G38" i="6"/>
  <c r="E38" i="6"/>
  <c r="J45" i="6"/>
  <c r="C43" i="6"/>
  <c r="C46" i="6"/>
  <c r="I28" i="21"/>
  <c r="I37" i="6"/>
  <c r="H46" i="6"/>
  <c r="H44" i="6"/>
  <c r="D46" i="6"/>
  <c r="G35" i="6"/>
  <c r="G26" i="21"/>
  <c r="F35" i="6"/>
  <c r="F26" i="21"/>
  <c r="H27" i="21"/>
  <c r="H36" i="6"/>
  <c r="H25" i="21"/>
  <c r="H30" i="6"/>
  <c r="H65" i="6" s="1"/>
  <c r="H34" i="6"/>
  <c r="M27" i="21"/>
  <c r="M36" i="6"/>
  <c r="M43" i="6"/>
  <c r="I45" i="6"/>
  <c r="L35" i="6"/>
  <c r="L26" i="21"/>
  <c r="G25" i="21"/>
  <c r="G30" i="6"/>
  <c r="G65" i="6" s="1"/>
  <c r="G34" i="6"/>
  <c r="E46" i="6"/>
  <c r="K46" i="6"/>
  <c r="I34" i="6"/>
  <c r="I30" i="6"/>
  <c r="I65" i="6" s="1"/>
  <c r="I25" i="21"/>
  <c r="N17" i="21"/>
  <c r="J38" i="6"/>
  <c r="C47" i="8"/>
  <c r="C19" i="17" s="1"/>
  <c r="K38" i="6"/>
  <c r="M35" i="6"/>
  <c r="M26" i="21"/>
  <c r="F38" i="6"/>
  <c r="O19" i="21"/>
  <c r="P19" i="21" s="1"/>
  <c r="E27" i="21"/>
  <c r="E36" i="6"/>
  <c r="E30" i="6"/>
  <c r="E65" i="6" s="1"/>
  <c r="L30" i="6"/>
  <c r="L65" i="6" s="1"/>
  <c r="J30" i="6"/>
  <c r="J65" i="6" s="1"/>
  <c r="K45" i="6"/>
  <c r="O16" i="21"/>
  <c r="P7" i="21"/>
  <c r="O12" i="21"/>
  <c r="P12" i="21" s="1"/>
  <c r="M38" i="6"/>
  <c r="D43" i="6"/>
  <c r="G27" i="21"/>
  <c r="G36" i="6"/>
  <c r="D8" i="8"/>
  <c r="D11" i="17" s="1"/>
  <c r="C38" i="6"/>
  <c r="E35" i="6"/>
  <c r="E26" i="21"/>
  <c r="F27" i="21"/>
  <c r="F36" i="6"/>
  <c r="J26" i="21"/>
  <c r="J35" i="6"/>
  <c r="K30" i="6"/>
  <c r="K65" i="6" s="1"/>
  <c r="D35" i="6"/>
  <c r="D26" i="21"/>
  <c r="F46" i="6"/>
  <c r="BU69" i="24"/>
  <c r="BQ69" i="24"/>
  <c r="BY69" i="24"/>
  <c r="CW69" i="24"/>
  <c r="CV69" i="24"/>
  <c r="BW69" i="24"/>
  <c r="CU69" i="24"/>
  <c r="BV69" i="24"/>
  <c r="DR69" i="24"/>
  <c r="DC69" i="24"/>
  <c r="CO69" i="24"/>
  <c r="CD69" i="24"/>
  <c r="BP69" i="24"/>
  <c r="CJ69" i="24"/>
  <c r="DM69" i="24"/>
  <c r="CZ69" i="24"/>
  <c r="CM69" i="24"/>
  <c r="BN69" i="24"/>
  <c r="DL69" i="24"/>
  <c r="CL69" i="24"/>
  <c r="BX69" i="24"/>
  <c r="BL69" i="24"/>
  <c r="DJ69" i="24"/>
  <c r="DH69" i="24"/>
  <c r="CG69" i="24"/>
  <c r="DP69" i="24"/>
  <c r="CS69" i="24"/>
  <c r="CY69" i="24"/>
  <c r="CP69" i="24"/>
  <c r="DB69" i="24"/>
  <c r="CC69" i="24"/>
  <c r="CI69" i="24"/>
  <c r="BZ69" i="24"/>
  <c r="CT69" i="24"/>
  <c r="CB69" i="24"/>
  <c r="DS69" i="24"/>
  <c r="BT69" i="24"/>
  <c r="CR69" i="24"/>
  <c r="CA69" i="24"/>
  <c r="BR69" i="24"/>
  <c r="CF69" i="24"/>
  <c r="BO69" i="24"/>
  <c r="BM69" i="24"/>
  <c r="BS69" i="24"/>
  <c r="DK69" i="24"/>
  <c r="DQ69" i="24"/>
  <c r="DN69" i="24"/>
  <c r="CE69" i="24"/>
  <c r="DD69" i="24"/>
  <c r="D30" i="24"/>
  <c r="B38" i="6"/>
  <c r="N29" i="6"/>
  <c r="O29" i="6" s="1"/>
  <c r="P29" i="6" s="1"/>
  <c r="D11" i="8"/>
  <c r="D14" i="17" s="1"/>
  <c r="CM13" i="24"/>
  <c r="B28" i="21"/>
  <c r="N28" i="6"/>
  <c r="O28" i="6" s="1"/>
  <c r="P28" i="6" s="1"/>
  <c r="B37" i="6"/>
  <c r="D10" i="8"/>
  <c r="D13" i="17" s="1"/>
  <c r="B45" i="6"/>
  <c r="C48" i="8"/>
  <c r="C20" i="17" s="1"/>
  <c r="C12" i="8"/>
  <c r="C15" i="17" s="1"/>
  <c r="B44" i="6"/>
  <c r="CK13" i="24"/>
  <c r="DG13" i="24"/>
  <c r="N16" i="21"/>
  <c r="AS13" i="24"/>
  <c r="O16" i="6"/>
  <c r="N21" i="6"/>
  <c r="B34" i="6"/>
  <c r="B30" i="6"/>
  <c r="B65" i="6" s="1"/>
  <c r="B25" i="21"/>
  <c r="N25" i="6"/>
  <c r="D7" i="8"/>
  <c r="D10" i="17" s="1"/>
  <c r="DN13" i="24"/>
  <c r="BD13" i="24"/>
  <c r="DM13" i="24"/>
  <c r="CG13" i="24"/>
  <c r="CY13" i="24"/>
  <c r="BJ13" i="24"/>
  <c r="AU13" i="24"/>
  <c r="CT13" i="24"/>
  <c r="BO13" i="24"/>
  <c r="BE13" i="24"/>
  <c r="CH13" i="24"/>
  <c r="DC13" i="24"/>
  <c r="BI13" i="24"/>
  <c r="CB13" i="24"/>
  <c r="BT13" i="24"/>
  <c r="BW13" i="24"/>
  <c r="CV13" i="24"/>
  <c r="AT13" i="24"/>
  <c r="BG13" i="24"/>
  <c r="CW13" i="24"/>
  <c r="CE13" i="24"/>
  <c r="CQ13" i="24"/>
  <c r="BX13" i="24"/>
  <c r="BL13" i="24"/>
  <c r="AZ13" i="24"/>
  <c r="BC13" i="24"/>
  <c r="AX13" i="24"/>
  <c r="AV13" i="24"/>
  <c r="BH13" i="24"/>
  <c r="CP13" i="24"/>
  <c r="AW13" i="24"/>
  <c r="DS13" i="24"/>
  <c r="DR13" i="24"/>
  <c r="DO13" i="24"/>
  <c r="BK13" i="24"/>
  <c r="DF13" i="24"/>
  <c r="BF13" i="24"/>
  <c r="CI13" i="24"/>
  <c r="AQ13" i="24"/>
  <c r="CC13" i="24"/>
  <c r="BU13" i="24"/>
  <c r="BQ13" i="24"/>
  <c r="BA13" i="24"/>
  <c r="BZ13" i="24"/>
  <c r="DH13" i="24"/>
  <c r="AO13" i="24"/>
  <c r="AR13" i="24"/>
  <c r="CJ13" i="24"/>
  <c r="DA13" i="24"/>
  <c r="BN13" i="24"/>
  <c r="E28" i="24"/>
  <c r="E30" i="24" s="1"/>
  <c r="E29" i="24"/>
  <c r="BP13" i="24"/>
  <c r="CR13" i="24"/>
  <c r="CU13" i="24"/>
  <c r="BY13" i="24"/>
  <c r="CD13" i="24"/>
  <c r="CO13" i="24"/>
  <c r="AY13" i="24"/>
  <c r="BV13" i="24"/>
  <c r="DD13" i="24"/>
  <c r="CF13" i="24"/>
  <c r="DK13" i="24"/>
  <c r="BS13" i="24"/>
  <c r="DE13" i="24"/>
  <c r="CL13" i="24"/>
  <c r="DP13" i="24"/>
  <c r="BM13" i="24"/>
  <c r="CS13" i="24"/>
  <c r="CZ13" i="24"/>
  <c r="AP13" i="24"/>
  <c r="DB13" i="24"/>
  <c r="CN13" i="24"/>
  <c r="BR13" i="24"/>
  <c r="BB13" i="24"/>
  <c r="DJ13" i="24"/>
  <c r="CA13" i="24"/>
  <c r="B81" i="8" l="1"/>
  <c r="B32" i="17" s="1"/>
  <c r="K101" i="20"/>
  <c r="C8" i="13" s="1"/>
  <c r="H21" i="21"/>
  <c r="V6" i="20"/>
  <c r="Y6" i="20" s="1"/>
  <c r="Y8" i="20" s="1"/>
  <c r="X4" i="20"/>
  <c r="AA4" i="20" s="1"/>
  <c r="Z4" i="20"/>
  <c r="AC4" i="20" s="1"/>
  <c r="C21" i="21"/>
  <c r="G25" i="9"/>
  <c r="V7" i="20"/>
  <c r="X7" i="20" s="1"/>
  <c r="AA7" i="20" s="1"/>
  <c r="M10" i="10"/>
  <c r="J15" i="10" s="1"/>
  <c r="J19" i="10" s="1"/>
  <c r="Z6" i="20"/>
  <c r="AC6" i="20" s="1"/>
  <c r="B62" i="8"/>
  <c r="B13" i="15"/>
  <c r="B17" i="15" s="1"/>
  <c r="E8" i="4"/>
  <c r="E41" i="4" s="1"/>
  <c r="C8" i="19" s="1"/>
  <c r="D8" i="19" s="1"/>
  <c r="B32" i="8"/>
  <c r="B41" i="8"/>
  <c r="B42" i="8" s="1"/>
  <c r="D49" i="8"/>
  <c r="D21" i="17" s="1"/>
  <c r="D12" i="17"/>
  <c r="E21" i="21"/>
  <c r="B70" i="8"/>
  <c r="B22" i="17"/>
  <c r="B68" i="8"/>
  <c r="B20" i="17"/>
  <c r="A1" i="7"/>
  <c r="L21" i="21"/>
  <c r="G21" i="21"/>
  <c r="I5" i="20"/>
  <c r="F19" i="8" s="1"/>
  <c r="L55" i="7" s="1"/>
  <c r="J21" i="21"/>
  <c r="C80" i="8"/>
  <c r="C79" i="8"/>
  <c r="C30" i="17" s="1"/>
  <c r="C40" i="8"/>
  <c r="I74" i="7"/>
  <c r="B36" i="21"/>
  <c r="K36" i="21"/>
  <c r="E19" i="8"/>
  <c r="K55" i="7" s="1"/>
  <c r="J36" i="21"/>
  <c r="C36" i="21"/>
  <c r="B21" i="21"/>
  <c r="C39" i="8"/>
  <c r="D58" i="8"/>
  <c r="C29" i="21"/>
  <c r="C30" i="21" s="1"/>
  <c r="I21" i="21"/>
  <c r="D21" i="21"/>
  <c r="J29" i="21"/>
  <c r="J30" i="21" s="1"/>
  <c r="L29" i="21"/>
  <c r="L30" i="21" s="1"/>
  <c r="B67" i="8"/>
  <c r="J19" i="7"/>
  <c r="D27" i="8" s="1"/>
  <c r="D57" i="8" s="1"/>
  <c r="G9" i="7"/>
  <c r="F19" i="7"/>
  <c r="K9" i="7"/>
  <c r="K19" i="7" s="1"/>
  <c r="E27" i="8" s="1"/>
  <c r="K21" i="21"/>
  <c r="N18" i="21"/>
  <c r="O18" i="21"/>
  <c r="P18" i="21" s="1"/>
  <c r="G29" i="21"/>
  <c r="G30" i="21" s="1"/>
  <c r="I55" i="7"/>
  <c r="I56" i="7" s="1"/>
  <c r="B29" i="21"/>
  <c r="B30" i="21" s="1"/>
  <c r="C41" i="8"/>
  <c r="C61" i="8"/>
  <c r="C62" i="8" s="1"/>
  <c r="D6" i="13" s="1"/>
  <c r="C37" i="8"/>
  <c r="I92" i="7"/>
  <c r="C69" i="8"/>
  <c r="I21" i="7"/>
  <c r="J37" i="21"/>
  <c r="C67" i="8"/>
  <c r="C38" i="8"/>
  <c r="C77" i="8"/>
  <c r="C28" i="17" s="1"/>
  <c r="H29" i="21"/>
  <c r="H30" i="21" s="1"/>
  <c r="V5" i="20"/>
  <c r="I29" i="21"/>
  <c r="D29" i="21"/>
  <c r="D30" i="21" s="1"/>
  <c r="N7" i="10"/>
  <c r="N10" i="10" s="1"/>
  <c r="L15" i="10" s="1"/>
  <c r="J54" i="7"/>
  <c r="D29" i="8" s="1"/>
  <c r="D39" i="8" s="1"/>
  <c r="M29" i="21"/>
  <c r="K29" i="21"/>
  <c r="K30" i="21" s="1"/>
  <c r="E29" i="21"/>
  <c r="E30" i="21" s="1"/>
  <c r="I38" i="7"/>
  <c r="N20" i="21"/>
  <c r="C78" i="8"/>
  <c r="K46" i="7"/>
  <c r="G46" i="7"/>
  <c r="L46" i="7" s="1"/>
  <c r="F21" i="21"/>
  <c r="D37" i="21"/>
  <c r="C37" i="21"/>
  <c r="L37" i="21"/>
  <c r="M37" i="21"/>
  <c r="K37" i="21"/>
  <c r="K36" i="7"/>
  <c r="E28" i="8" s="1"/>
  <c r="E37" i="21"/>
  <c r="F37" i="21"/>
  <c r="D34" i="21"/>
  <c r="M34" i="21"/>
  <c r="C22" i="8"/>
  <c r="C51" i="8"/>
  <c r="C23" i="17" s="1"/>
  <c r="O20" i="21"/>
  <c r="P20" i="21" s="1"/>
  <c r="L36" i="7"/>
  <c r="F28" i="8" s="1"/>
  <c r="D21" i="8"/>
  <c r="J91" i="7" s="1"/>
  <c r="J92" i="7" s="1"/>
  <c r="H7" i="20"/>
  <c r="K38" i="21" s="1"/>
  <c r="K34" i="21"/>
  <c r="J34" i="21"/>
  <c r="G36" i="7"/>
  <c r="C34" i="21"/>
  <c r="K44" i="7"/>
  <c r="G44" i="7"/>
  <c r="F54" i="7"/>
  <c r="L80" i="7"/>
  <c r="C32" i="8"/>
  <c r="G83" i="7"/>
  <c r="L83" i="7" s="1"/>
  <c r="K83" i="7"/>
  <c r="K90" i="7" s="1"/>
  <c r="D31" i="8"/>
  <c r="D61" i="8" s="1"/>
  <c r="K72" i="7"/>
  <c r="E30" i="8" s="1"/>
  <c r="L63" i="7"/>
  <c r="L72" i="7" s="1"/>
  <c r="F30" i="8" s="1"/>
  <c r="G72" i="7"/>
  <c r="N35" i="6"/>
  <c r="O35" i="6" s="1"/>
  <c r="P35" i="6" s="1"/>
  <c r="L36" i="21"/>
  <c r="C39" i="6"/>
  <c r="C68" i="6" s="1"/>
  <c r="L39" i="6"/>
  <c r="L68" i="6" s="1"/>
  <c r="O27" i="21"/>
  <c r="P27" i="21" s="1"/>
  <c r="D39" i="6"/>
  <c r="D68" i="6" s="1"/>
  <c r="M39" i="6"/>
  <c r="M68" i="6" s="1"/>
  <c r="B52" i="8"/>
  <c r="N28" i="21"/>
  <c r="O28" i="21"/>
  <c r="P28" i="21" s="1"/>
  <c r="D40" i="8"/>
  <c r="J73" i="7"/>
  <c r="J74" i="7" s="1"/>
  <c r="E20" i="8"/>
  <c r="I6" i="20"/>
  <c r="F46" i="21" s="1"/>
  <c r="G37" i="21"/>
  <c r="E18" i="8"/>
  <c r="I4" i="20"/>
  <c r="F18" i="8" s="1"/>
  <c r="J37" i="7"/>
  <c r="J38" i="7" s="1"/>
  <c r="D38" i="8"/>
  <c r="H35" i="21"/>
  <c r="E17" i="8"/>
  <c r="I3" i="20"/>
  <c r="L43" i="21" s="1"/>
  <c r="E34" i="21"/>
  <c r="J20" i="7"/>
  <c r="E9" i="8"/>
  <c r="E12" i="17" s="1"/>
  <c r="D36" i="21"/>
  <c r="D48" i="8"/>
  <c r="D20" i="17" s="1"/>
  <c r="O25" i="21"/>
  <c r="P25" i="21" s="1"/>
  <c r="C68" i="8"/>
  <c r="N27" i="21"/>
  <c r="I44" i="6"/>
  <c r="I35" i="21"/>
  <c r="G36" i="21"/>
  <c r="G45" i="6"/>
  <c r="G39" i="6"/>
  <c r="G68" i="6" s="1"/>
  <c r="G34" i="21"/>
  <c r="G43" i="6"/>
  <c r="I46" i="6"/>
  <c r="I37" i="21"/>
  <c r="F39" i="6"/>
  <c r="F68" i="6" s="1"/>
  <c r="F43" i="6"/>
  <c r="F34" i="21"/>
  <c r="M35" i="21"/>
  <c r="M44" i="6"/>
  <c r="E47" i="6"/>
  <c r="I47" i="6"/>
  <c r="F36" i="21"/>
  <c r="F45" i="6"/>
  <c r="J47" i="6"/>
  <c r="E35" i="21"/>
  <c r="E44" i="6"/>
  <c r="E39" i="6"/>
  <c r="E68" i="6" s="1"/>
  <c r="H36" i="21"/>
  <c r="H45" i="6"/>
  <c r="K47" i="6"/>
  <c r="L35" i="21"/>
  <c r="L44" i="6"/>
  <c r="G47" i="6"/>
  <c r="O26" i="21"/>
  <c r="P26" i="21" s="1"/>
  <c r="K35" i="21"/>
  <c r="K44" i="6"/>
  <c r="H39" i="6"/>
  <c r="H68" i="6" s="1"/>
  <c r="H34" i="21"/>
  <c r="H43" i="6"/>
  <c r="I39" i="6"/>
  <c r="I68" i="6" s="1"/>
  <c r="I34" i="21"/>
  <c r="I43" i="6"/>
  <c r="D47" i="6"/>
  <c r="D35" i="21"/>
  <c r="D44" i="6"/>
  <c r="J35" i="21"/>
  <c r="J44" i="6"/>
  <c r="M45" i="6"/>
  <c r="M36" i="21"/>
  <c r="F35" i="21"/>
  <c r="F44" i="6"/>
  <c r="L47" i="6"/>
  <c r="C35" i="21"/>
  <c r="C44" i="6"/>
  <c r="G35" i="21"/>
  <c r="G44" i="6"/>
  <c r="J39" i="6"/>
  <c r="J68" i="6" s="1"/>
  <c r="P16" i="21"/>
  <c r="F30" i="21"/>
  <c r="C70" i="8"/>
  <c r="E45" i="6"/>
  <c r="E36" i="21"/>
  <c r="C47" i="6"/>
  <c r="E8" i="8"/>
  <c r="E11" i="17" s="1"/>
  <c r="N36" i="6"/>
  <c r="O36" i="6" s="1"/>
  <c r="P36" i="6" s="1"/>
  <c r="N26" i="21"/>
  <c r="M47" i="6"/>
  <c r="F47" i="6"/>
  <c r="H47" i="6"/>
  <c r="K39" i="6"/>
  <c r="K68" i="6" s="1"/>
  <c r="E11" i="8"/>
  <c r="E14" i="17" s="1"/>
  <c r="N38" i="6"/>
  <c r="O38" i="6" s="1"/>
  <c r="P38" i="6" s="1"/>
  <c r="B47" i="6"/>
  <c r="B37" i="21"/>
  <c r="N37" i="6"/>
  <c r="O37" i="6" s="1"/>
  <c r="P37" i="6" s="1"/>
  <c r="B46" i="6"/>
  <c r="E10" i="8"/>
  <c r="E13" i="17" s="1"/>
  <c r="D50" i="8"/>
  <c r="D22" i="17" s="1"/>
  <c r="D60" i="8"/>
  <c r="B43" i="6"/>
  <c r="B39" i="6"/>
  <c r="B68" i="6" s="1"/>
  <c r="B34" i="21"/>
  <c r="N34" i="6"/>
  <c r="E7" i="8"/>
  <c r="E10" i="17" s="1"/>
  <c r="P16" i="6"/>
  <c r="P21" i="6" s="1"/>
  <c r="O21" i="6"/>
  <c r="N25" i="21"/>
  <c r="D12" i="8"/>
  <c r="D15" i="17" s="1"/>
  <c r="D47" i="8"/>
  <c r="D19" i="17" s="1"/>
  <c r="O25" i="6"/>
  <c r="N30" i="6"/>
  <c r="F29" i="24"/>
  <c r="F28" i="24"/>
  <c r="F30" i="24" s="1"/>
  <c r="C81" i="8" l="1"/>
  <c r="C32" i="17" s="1"/>
  <c r="B58" i="11"/>
  <c r="Y13" i="20"/>
  <c r="Y14" i="20"/>
  <c r="B24" i="11"/>
  <c r="C24" i="13"/>
  <c r="B8" i="14"/>
  <c r="C16" i="12"/>
  <c r="B26" i="11"/>
  <c r="B9" i="15" s="1"/>
  <c r="J21" i="20"/>
  <c r="K21" i="20" s="1"/>
  <c r="L21" i="20" s="1"/>
  <c r="C6" i="13" s="1"/>
  <c r="B6" i="14" s="1"/>
  <c r="L19" i="10"/>
  <c r="J22" i="20"/>
  <c r="L22" i="20" s="1"/>
  <c r="AB6" i="20"/>
  <c r="AB8" i="20" s="1"/>
  <c r="B8" i="9"/>
  <c r="B15" i="9" s="1"/>
  <c r="C15" i="9" s="1"/>
  <c r="D15" i="9" s="1"/>
  <c r="E15" i="9" s="1"/>
  <c r="F15" i="9" s="1"/>
  <c r="G15" i="9" s="1"/>
  <c r="C39" i="17"/>
  <c r="E76" i="20"/>
  <c r="G76" i="20" s="1"/>
  <c r="B13" i="9"/>
  <c r="C13" i="9" s="1"/>
  <c r="D13" i="9" s="1"/>
  <c r="E13" i="9" s="1"/>
  <c r="F13" i="9" s="1"/>
  <c r="G13" i="9" s="1"/>
  <c r="D8" i="13"/>
  <c r="E8" i="13" s="1"/>
  <c r="F8" i="13" s="1"/>
  <c r="G8" i="13" s="1"/>
  <c r="D80" i="8"/>
  <c r="D31" i="17" s="1"/>
  <c r="C31" i="17"/>
  <c r="D78" i="8"/>
  <c r="D29" i="17" s="1"/>
  <c r="C29" i="17"/>
  <c r="B72" i="8"/>
  <c r="C10" i="12"/>
  <c r="C11" i="12" s="1"/>
  <c r="B24" i="17"/>
  <c r="E8" i="19"/>
  <c r="E39" i="17" s="1"/>
  <c r="D39" i="17"/>
  <c r="B45" i="21"/>
  <c r="Z5" i="20"/>
  <c r="Z8" i="20" s="1"/>
  <c r="X5" i="20"/>
  <c r="G45" i="21"/>
  <c r="M45" i="21"/>
  <c r="F45" i="21"/>
  <c r="I45" i="21"/>
  <c r="L45" i="21"/>
  <c r="K45" i="21"/>
  <c r="C45" i="21"/>
  <c r="E45" i="21"/>
  <c r="H45" i="21"/>
  <c r="J45" i="21"/>
  <c r="D45" i="21"/>
  <c r="D68" i="8"/>
  <c r="D77" i="8"/>
  <c r="C71" i="8"/>
  <c r="C72" i="8" s="1"/>
  <c r="G38" i="21"/>
  <c r="G39" i="21" s="1"/>
  <c r="N21" i="21"/>
  <c r="W5" i="20"/>
  <c r="W8" i="20" s="1"/>
  <c r="D37" i="8"/>
  <c r="J21" i="7"/>
  <c r="G19" i="7"/>
  <c r="L9" i="7"/>
  <c r="L19" i="7" s="1"/>
  <c r="F27" i="8" s="1"/>
  <c r="C42" i="8"/>
  <c r="O29" i="21"/>
  <c r="P29" i="21" s="1"/>
  <c r="M38" i="21"/>
  <c r="M39" i="21" s="1"/>
  <c r="I30" i="21"/>
  <c r="V8" i="20"/>
  <c r="N29" i="21"/>
  <c r="N30" i="21" s="1"/>
  <c r="D51" i="8"/>
  <c r="D79" i="8"/>
  <c r="D30" i="17" s="1"/>
  <c r="J44" i="21"/>
  <c r="D59" i="8"/>
  <c r="D69" i="8" s="1"/>
  <c r="E58" i="8"/>
  <c r="K44" i="21"/>
  <c r="K54" i="7"/>
  <c r="E29" i="8" s="1"/>
  <c r="E39" i="8" s="1"/>
  <c r="C44" i="21"/>
  <c r="M30" i="21"/>
  <c r="B38" i="21"/>
  <c r="B39" i="21" s="1"/>
  <c r="F44" i="21"/>
  <c r="O21" i="21"/>
  <c r="P21" i="21" s="1"/>
  <c r="I44" i="21"/>
  <c r="D22" i="8"/>
  <c r="J56" i="7"/>
  <c r="M44" i="21"/>
  <c r="L44" i="21"/>
  <c r="G44" i="21"/>
  <c r="I38" i="21"/>
  <c r="I39" i="21" s="1"/>
  <c r="C52" i="8"/>
  <c r="C24" i="17" s="1"/>
  <c r="L38" i="21"/>
  <c r="L39" i="21" s="1"/>
  <c r="E38" i="21"/>
  <c r="E39" i="21" s="1"/>
  <c r="H38" i="21"/>
  <c r="H39" i="21" s="1"/>
  <c r="F38" i="21"/>
  <c r="F39" i="21" s="1"/>
  <c r="C38" i="21"/>
  <c r="C39" i="21" s="1"/>
  <c r="D38" i="21"/>
  <c r="D39" i="21" s="1"/>
  <c r="J38" i="21"/>
  <c r="J39" i="21" s="1"/>
  <c r="C43" i="21"/>
  <c r="E21" i="8"/>
  <c r="K91" i="7" s="1"/>
  <c r="K92" i="7" s="1"/>
  <c r="I7" i="20"/>
  <c r="F21" i="8" s="1"/>
  <c r="L91" i="7" s="1"/>
  <c r="M43" i="21"/>
  <c r="L44" i="7"/>
  <c r="L54" i="7" s="1"/>
  <c r="F29" i="8" s="1"/>
  <c r="F39" i="8" s="1"/>
  <c r="G54" i="7"/>
  <c r="D81" i="8"/>
  <c r="D32" i="17" s="1"/>
  <c r="E31" i="8"/>
  <c r="E61" i="8" s="1"/>
  <c r="G90" i="7"/>
  <c r="L90" i="7"/>
  <c r="D41" i="8"/>
  <c r="D32" i="8"/>
  <c r="D16" i="12"/>
  <c r="K39" i="21"/>
  <c r="B37" i="11"/>
  <c r="N37" i="21"/>
  <c r="O37" i="21"/>
  <c r="P37" i="21" s="1"/>
  <c r="E49" i="8"/>
  <c r="E21" i="17" s="1"/>
  <c r="E46" i="21"/>
  <c r="K73" i="7"/>
  <c r="K74" i="7" s="1"/>
  <c r="E40" i="8"/>
  <c r="D46" i="21"/>
  <c r="H46" i="21"/>
  <c r="F20" i="8"/>
  <c r="G46" i="21"/>
  <c r="M46" i="21"/>
  <c r="K46" i="21"/>
  <c r="I46" i="21"/>
  <c r="C46" i="21"/>
  <c r="L46" i="21"/>
  <c r="J46" i="21"/>
  <c r="L37" i="7"/>
  <c r="L38" i="7" s="1"/>
  <c r="F38" i="8"/>
  <c r="B44" i="21"/>
  <c r="K37" i="7"/>
  <c r="K38" i="7" s="1"/>
  <c r="E38" i="8"/>
  <c r="D44" i="21"/>
  <c r="H44" i="21"/>
  <c r="D43" i="21"/>
  <c r="K43" i="21"/>
  <c r="J43" i="21"/>
  <c r="F17" i="8"/>
  <c r="E43" i="21"/>
  <c r="E37" i="8"/>
  <c r="K20" i="7"/>
  <c r="K21" i="7" s="1"/>
  <c r="N35" i="21"/>
  <c r="K48" i="6"/>
  <c r="K71" i="6" s="1"/>
  <c r="L48" i="6"/>
  <c r="L71" i="6" s="1"/>
  <c r="J48" i="6"/>
  <c r="J71" i="6" s="1"/>
  <c r="O36" i="21"/>
  <c r="P36" i="21" s="1"/>
  <c r="F8" i="8"/>
  <c r="D48" i="6"/>
  <c r="D71" i="6" s="1"/>
  <c r="E48" i="8"/>
  <c r="E20" i="17" s="1"/>
  <c r="D70" i="8"/>
  <c r="N36" i="21"/>
  <c r="E44" i="21"/>
  <c r="E48" i="6"/>
  <c r="E71" i="6" s="1"/>
  <c r="O34" i="21"/>
  <c r="F9" i="8"/>
  <c r="M48" i="6"/>
  <c r="M71" i="6" s="1"/>
  <c r="O35" i="21"/>
  <c r="P35" i="21" s="1"/>
  <c r="H43" i="21"/>
  <c r="H48" i="6"/>
  <c r="H71" i="6" s="1"/>
  <c r="N45" i="6"/>
  <c r="O45" i="6" s="1"/>
  <c r="P45" i="6" s="1"/>
  <c r="N44" i="6"/>
  <c r="O44" i="6" s="1"/>
  <c r="P44" i="6" s="1"/>
  <c r="C48" i="6"/>
  <c r="C71" i="6" s="1"/>
  <c r="I43" i="21"/>
  <c r="I48" i="6"/>
  <c r="I71" i="6" s="1"/>
  <c r="F43" i="21"/>
  <c r="F48" i="6"/>
  <c r="F71" i="6" s="1"/>
  <c r="G43" i="21"/>
  <c r="G48" i="6"/>
  <c r="G71" i="6" s="1"/>
  <c r="F11" i="8"/>
  <c r="F14" i="17" s="1"/>
  <c r="N47" i="6"/>
  <c r="O47" i="6" s="1"/>
  <c r="P47" i="6" s="1"/>
  <c r="E60" i="8"/>
  <c r="E50" i="8"/>
  <c r="E22" i="17" s="1"/>
  <c r="B46" i="21"/>
  <c r="N46" i="6"/>
  <c r="O46" i="6" s="1"/>
  <c r="P46" i="6" s="1"/>
  <c r="F10" i="8"/>
  <c r="F13" i="17" s="1"/>
  <c r="D67" i="8"/>
  <c r="B48" i="6"/>
  <c r="B71" i="6" s="1"/>
  <c r="F7" i="8"/>
  <c r="F10" i="17" s="1"/>
  <c r="B43" i="21"/>
  <c r="N43" i="6"/>
  <c r="P25" i="6"/>
  <c r="P30" i="6" s="1"/>
  <c r="O30" i="6"/>
  <c r="E12" i="8"/>
  <c r="E15" i="17" s="1"/>
  <c r="E47" i="8"/>
  <c r="E19" i="17" s="1"/>
  <c r="E57" i="8"/>
  <c r="O34" i="6"/>
  <c r="N39" i="6"/>
  <c r="N34" i="21"/>
  <c r="AL16" i="24"/>
  <c r="AC16" i="24"/>
  <c r="AD16" i="24"/>
  <c r="AE16" i="24"/>
  <c r="AK16" i="24"/>
  <c r="AJ16" i="24"/>
  <c r="AH16" i="24"/>
  <c r="AB16" i="24"/>
  <c r="AG16" i="24"/>
  <c r="AF16" i="24"/>
  <c r="AM16" i="24"/>
  <c r="AI16" i="24"/>
  <c r="V16" i="24"/>
  <c r="X16" i="24"/>
  <c r="Z16" i="24"/>
  <c r="Y16" i="24"/>
  <c r="AA16" i="24"/>
  <c r="W16" i="24"/>
  <c r="U16" i="24"/>
  <c r="P16" i="24"/>
  <c r="Q16" i="24"/>
  <c r="T16" i="24"/>
  <c r="R16" i="24"/>
  <c r="S16" i="24"/>
  <c r="G29" i="24"/>
  <c r="G28" i="24"/>
  <c r="G30" i="24" s="1"/>
  <c r="C4" i="13" l="1"/>
  <c r="B20" i="14" s="1"/>
  <c r="B22" i="14" s="1"/>
  <c r="B34" i="11"/>
  <c r="C34" i="11" s="1"/>
  <c r="D34" i="11" s="1"/>
  <c r="E34" i="11" s="1"/>
  <c r="F34" i="11" s="1"/>
  <c r="G34" i="11" s="1"/>
  <c r="Z13" i="20"/>
  <c r="Z14" i="20"/>
  <c r="C58" i="11"/>
  <c r="D58" i="11" s="1"/>
  <c r="E58" i="11" s="1"/>
  <c r="C37" i="11"/>
  <c r="D37" i="11" s="1"/>
  <c r="E77" i="20"/>
  <c r="E78" i="20" s="1"/>
  <c r="I78" i="20" s="1"/>
  <c r="I11" i="11" s="1"/>
  <c r="B11" i="11" s="1"/>
  <c r="I76" i="20"/>
  <c r="B57" i="11"/>
  <c r="C57" i="11" s="1"/>
  <c r="D57" i="11" s="1"/>
  <c r="E57" i="11" s="1"/>
  <c r="F57" i="11" s="1"/>
  <c r="G57" i="11" s="1"/>
  <c r="B38" i="11"/>
  <c r="C38" i="11" s="1"/>
  <c r="D38" i="11" s="1"/>
  <c r="E38" i="11" s="1"/>
  <c r="F38" i="11" s="1"/>
  <c r="G38" i="11" s="1"/>
  <c r="AC5" i="20"/>
  <c r="AC8" i="20" s="1"/>
  <c r="E78" i="8"/>
  <c r="F78" i="8" s="1"/>
  <c r="F29" i="17" s="1"/>
  <c r="F49" i="8"/>
  <c r="F21" i="17" s="1"/>
  <c r="F12" i="17"/>
  <c r="F48" i="8"/>
  <c r="F20" i="17" s="1"/>
  <c r="F11" i="17"/>
  <c r="E80" i="8"/>
  <c r="E31" i="17" s="1"/>
  <c r="E77" i="8"/>
  <c r="E28" i="17" s="1"/>
  <c r="D28" i="17"/>
  <c r="D52" i="8"/>
  <c r="D24" i="17" s="1"/>
  <c r="D23" i="17"/>
  <c r="AA5" i="20"/>
  <c r="AA8" i="20" s="1"/>
  <c r="X8" i="20"/>
  <c r="X14" i="20" s="1"/>
  <c r="N45" i="21"/>
  <c r="C23" i="13"/>
  <c r="O45" i="21"/>
  <c r="P45" i="21" s="1"/>
  <c r="L23" i="20"/>
  <c r="D42" i="8"/>
  <c r="E79" i="8"/>
  <c r="D10" i="12"/>
  <c r="D11" i="12" s="1"/>
  <c r="D4" i="13"/>
  <c r="E68" i="8"/>
  <c r="O30" i="21"/>
  <c r="P30" i="21" s="1"/>
  <c r="D62" i="8"/>
  <c r="E6" i="13" s="1"/>
  <c r="K56" i="7"/>
  <c r="D71" i="8"/>
  <c r="D72" i="8" s="1"/>
  <c r="E59" i="8"/>
  <c r="E69" i="8" s="1"/>
  <c r="E81" i="8"/>
  <c r="E32" i="17" s="1"/>
  <c r="N38" i="21"/>
  <c r="N39" i="21" s="1"/>
  <c r="O38" i="21"/>
  <c r="P38" i="21" s="1"/>
  <c r="J47" i="21"/>
  <c r="J48" i="21" s="1"/>
  <c r="G47" i="21"/>
  <c r="G48" i="21" s="1"/>
  <c r="M47" i="21"/>
  <c r="M48" i="21" s="1"/>
  <c r="H47" i="21"/>
  <c r="H48" i="21" s="1"/>
  <c r="B47" i="21"/>
  <c r="B48" i="21" s="1"/>
  <c r="F47" i="21"/>
  <c r="F48" i="21" s="1"/>
  <c r="I47" i="21"/>
  <c r="I48" i="21" s="1"/>
  <c r="E47" i="21"/>
  <c r="E48" i="21" s="1"/>
  <c r="E51" i="8"/>
  <c r="E22" i="8"/>
  <c r="K47" i="21"/>
  <c r="K48" i="21" s="1"/>
  <c r="L47" i="21"/>
  <c r="L48" i="21" s="1"/>
  <c r="D47" i="21"/>
  <c r="D48" i="21" s="1"/>
  <c r="C47" i="21"/>
  <c r="C48" i="21" s="1"/>
  <c r="D14" i="9"/>
  <c r="L56" i="7"/>
  <c r="L92" i="7"/>
  <c r="F31" i="8"/>
  <c r="F61" i="8" s="1"/>
  <c r="E41" i="8"/>
  <c r="E42" i="8" s="1"/>
  <c r="E32" i="8"/>
  <c r="N46" i="21"/>
  <c r="F59" i="8"/>
  <c r="L73" i="7"/>
  <c r="L74" i="7" s="1"/>
  <c r="F40" i="8"/>
  <c r="O46" i="21"/>
  <c r="P46" i="21" s="1"/>
  <c r="N44" i="21"/>
  <c r="F37" i="8"/>
  <c r="L20" i="7"/>
  <c r="L21" i="7" s="1"/>
  <c r="F22" i="8"/>
  <c r="O44" i="21"/>
  <c r="P44" i="21" s="1"/>
  <c r="F58" i="8"/>
  <c r="O43" i="21"/>
  <c r="P34" i="21"/>
  <c r="F51" i="8"/>
  <c r="F23" i="17" s="1"/>
  <c r="F60" i="8"/>
  <c r="F50" i="8"/>
  <c r="F22" i="17" s="1"/>
  <c r="E70" i="8"/>
  <c r="E67" i="8"/>
  <c r="P34" i="6"/>
  <c r="P39" i="6" s="1"/>
  <c r="O39" i="6"/>
  <c r="O43" i="6"/>
  <c r="N48" i="6"/>
  <c r="N43" i="21"/>
  <c r="F12" i="8"/>
  <c r="F15" i="17" s="1"/>
  <c r="F47" i="8"/>
  <c r="F19" i="17" s="1"/>
  <c r="F57" i="8"/>
  <c r="H29" i="24"/>
  <c r="H28" i="24"/>
  <c r="H30" i="24" s="1"/>
  <c r="B44" i="11" l="1"/>
  <c r="C5" i="13"/>
  <c r="B5" i="14" s="1"/>
  <c r="I77" i="20"/>
  <c r="I10" i="11" s="1"/>
  <c r="B10" i="11" s="1"/>
  <c r="E79" i="20"/>
  <c r="I79" i="20" s="1"/>
  <c r="I12" i="11" s="1"/>
  <c r="B12" i="11" s="1"/>
  <c r="B59" i="11"/>
  <c r="B60" i="11" s="1"/>
  <c r="B25" i="11" s="1"/>
  <c r="C21" i="13"/>
  <c r="B24" i="9"/>
  <c r="C24" i="9" s="1"/>
  <c r="C27" i="9" s="1"/>
  <c r="X13" i="20"/>
  <c r="C7" i="13"/>
  <c r="F69" i="8"/>
  <c r="E29" i="17"/>
  <c r="C59" i="11"/>
  <c r="C60" i="11" s="1"/>
  <c r="J27" i="20" s="1"/>
  <c r="K27" i="20" s="1"/>
  <c r="L27" i="20" s="1"/>
  <c r="D59" i="11"/>
  <c r="D11" i="13" s="1"/>
  <c r="C43" i="11"/>
  <c r="C44" i="11"/>
  <c r="B23" i="11" s="1"/>
  <c r="B43" i="11"/>
  <c r="F68" i="8"/>
  <c r="F77" i="8"/>
  <c r="F28" i="17" s="1"/>
  <c r="E71" i="8"/>
  <c r="E72" i="8" s="1"/>
  <c r="E23" i="17"/>
  <c r="E4" i="13"/>
  <c r="E10" i="12"/>
  <c r="E11" i="12" s="1"/>
  <c r="F80" i="8"/>
  <c r="F31" i="17" s="1"/>
  <c r="F79" i="8"/>
  <c r="F30" i="17" s="1"/>
  <c r="E30" i="17"/>
  <c r="E16" i="12"/>
  <c r="E52" i="8"/>
  <c r="E24" i="17" s="1"/>
  <c r="O39" i="21"/>
  <c r="P39" i="21" s="1"/>
  <c r="E62" i="8"/>
  <c r="F6" i="13" s="1"/>
  <c r="E59" i="11"/>
  <c r="F58" i="11"/>
  <c r="F81" i="8"/>
  <c r="F32" i="17" s="1"/>
  <c r="N47" i="21"/>
  <c r="N48" i="21" s="1"/>
  <c r="O47" i="21"/>
  <c r="P47" i="21" s="1"/>
  <c r="E14" i="9"/>
  <c r="F41" i="8"/>
  <c r="F42" i="8" s="1"/>
  <c r="F32" i="8"/>
  <c r="F71" i="8"/>
  <c r="P43" i="21"/>
  <c r="F62" i="8"/>
  <c r="G6" i="13" s="1"/>
  <c r="F70" i="8"/>
  <c r="F67" i="8"/>
  <c r="F52" i="8"/>
  <c r="F24" i="17" s="1"/>
  <c r="D44" i="11"/>
  <c r="D43" i="11"/>
  <c r="E37" i="11"/>
  <c r="P43" i="6"/>
  <c r="P48" i="6" s="1"/>
  <c r="O48" i="6"/>
  <c r="I28" i="24"/>
  <c r="I30" i="24" s="1"/>
  <c r="I29" i="24"/>
  <c r="D5" i="13" l="1"/>
  <c r="E5" i="13" s="1"/>
  <c r="F5" i="13" s="1"/>
  <c r="G5" i="13" s="1"/>
  <c r="C22" i="13"/>
  <c r="E80" i="20"/>
  <c r="I80" i="20" s="1"/>
  <c r="I13" i="11" s="1"/>
  <c r="B13" i="11" s="1"/>
  <c r="B27" i="9"/>
  <c r="B28" i="9" s="1"/>
  <c r="B29" i="11" s="1"/>
  <c r="C6" i="19" s="1"/>
  <c r="C37" i="17" s="1"/>
  <c r="B7" i="14"/>
  <c r="D7" i="13"/>
  <c r="E7" i="13" s="1"/>
  <c r="F7" i="13" s="1"/>
  <c r="G7" i="13" s="1"/>
  <c r="D20" i="12"/>
  <c r="D60" i="11"/>
  <c r="C20" i="12"/>
  <c r="C11" i="13" s="1"/>
  <c r="C27" i="13" s="1"/>
  <c r="C19" i="12"/>
  <c r="J26" i="20"/>
  <c r="K26" i="20" s="1"/>
  <c r="L26" i="20" s="1"/>
  <c r="D24" i="9"/>
  <c r="G10" i="12"/>
  <c r="G11" i="12" s="1"/>
  <c r="G4" i="13"/>
  <c r="F10" i="12"/>
  <c r="F11" i="12" s="1"/>
  <c r="F4" i="13"/>
  <c r="O48" i="21"/>
  <c r="P48" i="21" s="1"/>
  <c r="F16" i="12"/>
  <c r="F59" i="11"/>
  <c r="G58" i="11"/>
  <c r="G59" i="11" s="1"/>
  <c r="E11" i="13"/>
  <c r="E20" i="12"/>
  <c r="E60" i="11"/>
  <c r="F14" i="9"/>
  <c r="D19" i="12"/>
  <c r="D12" i="13"/>
  <c r="G16" i="12"/>
  <c r="F72" i="8"/>
  <c r="E43" i="11"/>
  <c r="F37" i="11"/>
  <c r="E44" i="11"/>
  <c r="J29" i="24"/>
  <c r="J28" i="24"/>
  <c r="J30" i="24" s="1"/>
  <c r="E81" i="20" l="1"/>
  <c r="I81" i="20" s="1"/>
  <c r="I14" i="11" s="1"/>
  <c r="B14" i="11" s="1"/>
  <c r="B11" i="14"/>
  <c r="C12" i="13"/>
  <c r="C28" i="13" s="1"/>
  <c r="D6" i="19"/>
  <c r="E6" i="19" s="1"/>
  <c r="E37" i="17" s="1"/>
  <c r="B7" i="12"/>
  <c r="B23" i="12" s="1"/>
  <c r="C28" i="9"/>
  <c r="C17" i="12"/>
  <c r="C21" i="12" s="1"/>
  <c r="C31" i="12" s="1"/>
  <c r="D17" i="12"/>
  <c r="D21" i="12" s="1"/>
  <c r="E24" i="9"/>
  <c r="D27" i="9"/>
  <c r="H11" i="12"/>
  <c r="H10" i="12"/>
  <c r="E82" i="20"/>
  <c r="H16" i="12"/>
  <c r="G11" i="13"/>
  <c r="G60" i="11"/>
  <c r="G20" i="12"/>
  <c r="F11" i="13"/>
  <c r="F20" i="12"/>
  <c r="F60" i="11"/>
  <c r="G14" i="9"/>
  <c r="E19" i="12"/>
  <c r="E12" i="13"/>
  <c r="F43" i="11"/>
  <c r="G37" i="11"/>
  <c r="F44" i="11"/>
  <c r="K29" i="24"/>
  <c r="K28" i="24"/>
  <c r="K30" i="24" s="1"/>
  <c r="B12" i="14" l="1"/>
  <c r="J25" i="20"/>
  <c r="K25" i="20" s="1"/>
  <c r="L25" i="20" s="1"/>
  <c r="C9" i="13"/>
  <c r="C10" i="13" s="1"/>
  <c r="D31" i="12"/>
  <c r="D23" i="12"/>
  <c r="C23" i="12"/>
  <c r="C45" i="12"/>
  <c r="D37" i="17"/>
  <c r="E17" i="12"/>
  <c r="E21" i="12" s="1"/>
  <c r="D28" i="9"/>
  <c r="D9" i="13" s="1"/>
  <c r="F24" i="9"/>
  <c r="E27" i="9"/>
  <c r="H20" i="12"/>
  <c r="I82" i="20"/>
  <c r="I15" i="11" s="1"/>
  <c r="B15" i="11" s="1"/>
  <c r="E83" i="20"/>
  <c r="I83" i="20" s="1"/>
  <c r="I16" i="11" s="1"/>
  <c r="B16" i="11" s="1"/>
  <c r="F19" i="12"/>
  <c r="F12" i="13"/>
  <c r="G43" i="11"/>
  <c r="G44" i="11"/>
  <c r="L28" i="24"/>
  <c r="L30" i="24" s="1"/>
  <c r="L29" i="24"/>
  <c r="B27" i="11" l="1"/>
  <c r="B9" i="14"/>
  <c r="B10" i="14" s="1"/>
  <c r="B13" i="14" s="1"/>
  <c r="B14" i="14" s="1"/>
  <c r="B15" i="14" s="1"/>
  <c r="B16" i="14" s="1"/>
  <c r="D10" i="13"/>
  <c r="D13" i="13" s="1"/>
  <c r="D14" i="13" s="1"/>
  <c r="D15" i="13" s="1"/>
  <c r="D16" i="13" s="1"/>
  <c r="F37" i="13" s="1"/>
  <c r="E23" i="12"/>
  <c r="E31" i="12"/>
  <c r="F17" i="12"/>
  <c r="F21" i="12" s="1"/>
  <c r="F23" i="12" s="1"/>
  <c r="E28" i="9"/>
  <c r="E9" i="13" s="1"/>
  <c r="G24" i="9"/>
  <c r="F27" i="9"/>
  <c r="C25" i="13"/>
  <c r="G19" i="12"/>
  <c r="G12" i="13"/>
  <c r="M29" i="24"/>
  <c r="M28" i="24"/>
  <c r="M30" i="24" s="1"/>
  <c r="E10" i="13" l="1"/>
  <c r="E13" i="13" s="1"/>
  <c r="E14" i="13" s="1"/>
  <c r="E15" i="13" s="1"/>
  <c r="E16" i="13" s="1"/>
  <c r="G37" i="13" s="1"/>
  <c r="G17" i="12"/>
  <c r="H17" i="12" s="1"/>
  <c r="F28" i="9"/>
  <c r="F9" i="13" s="1"/>
  <c r="G27" i="9"/>
  <c r="G28" i="9" s="1"/>
  <c r="G9" i="13" s="1"/>
  <c r="G10" i="13" s="1"/>
  <c r="C26" i="13"/>
  <c r="C13" i="13"/>
  <c r="B8" i="15"/>
  <c r="B10" i="15" s="1"/>
  <c r="B19" i="15" s="1"/>
  <c r="C7" i="19"/>
  <c r="C38" i="17" s="1"/>
  <c r="H19" i="12"/>
  <c r="N28" i="24"/>
  <c r="N30" i="24" s="1"/>
  <c r="N29" i="24"/>
  <c r="F10" i="13" l="1"/>
  <c r="F13" i="13" s="1"/>
  <c r="F14" i="13" s="1"/>
  <c r="F15" i="13" s="1"/>
  <c r="F16" i="13" s="1"/>
  <c r="H37" i="13" s="1"/>
  <c r="G21" i="12"/>
  <c r="G23" i="12" s="1"/>
  <c r="H23" i="12" s="1"/>
  <c r="G13" i="13"/>
  <c r="G14" i="13" s="1"/>
  <c r="G15" i="13" s="1"/>
  <c r="G16" i="13" s="1"/>
  <c r="I37" i="13" s="1"/>
  <c r="C29" i="13"/>
  <c r="C14" i="13"/>
  <c r="B18" i="12"/>
  <c r="D7" i="19"/>
  <c r="D38" i="17" s="1"/>
  <c r="C9" i="19"/>
  <c r="O29" i="24"/>
  <c r="O28" i="24"/>
  <c r="O30" i="24" s="1"/>
  <c r="H21" i="12" l="1"/>
  <c r="B16" i="13"/>
  <c r="C40" i="17"/>
  <c r="C15" i="13"/>
  <c r="C31" i="13" s="1"/>
  <c r="C30" i="13"/>
  <c r="E7" i="19"/>
  <c r="D9" i="19"/>
  <c r="H18" i="12"/>
  <c r="B21" i="12"/>
  <c r="P29" i="24"/>
  <c r="P28" i="24"/>
  <c r="P30" i="24" s="1"/>
  <c r="E9" i="19" l="1"/>
  <c r="E40" i="17" s="1"/>
  <c r="E38" i="17"/>
  <c r="B29" i="15"/>
  <c r="D40" i="17"/>
  <c r="C16" i="13"/>
  <c r="C32" i="13" s="1"/>
  <c r="Q29" i="24"/>
  <c r="Q28" i="24"/>
  <c r="Q30" i="24" s="1"/>
  <c r="B36" i="12" l="1"/>
  <c r="E60" i="24"/>
  <c r="F60" i="24" s="1"/>
  <c r="C68" i="24" s="1"/>
  <c r="E7" i="24"/>
  <c r="F7" i="24" s="1"/>
  <c r="F10" i="24" s="1"/>
  <c r="B24" i="15"/>
  <c r="B26" i="15" s="1"/>
  <c r="B31" i="15" s="1"/>
  <c r="B28" i="12"/>
  <c r="H28" i="12" s="1"/>
  <c r="E37" i="13"/>
  <c r="S15" i="24"/>
  <c r="R28" i="24"/>
  <c r="R30" i="24" s="1"/>
  <c r="R29" i="24"/>
  <c r="C15" i="24" l="1"/>
  <c r="D14" i="24" s="1"/>
  <c r="D16" i="24" s="1"/>
  <c r="F63" i="24"/>
  <c r="AQ69" i="24" s="1"/>
  <c r="B30" i="12"/>
  <c r="C38" i="12" s="1"/>
  <c r="K16" i="24"/>
  <c r="I16" i="24"/>
  <c r="M16" i="24"/>
  <c r="J16" i="24"/>
  <c r="L16" i="24"/>
  <c r="N16" i="24"/>
  <c r="O16" i="24"/>
  <c r="G16" i="24"/>
  <c r="H16" i="24"/>
  <c r="D68" i="24"/>
  <c r="D67" i="24"/>
  <c r="D69" i="24" s="1"/>
  <c r="T14" i="24"/>
  <c r="T13" i="24" s="1"/>
  <c r="T15" i="24" s="1"/>
  <c r="S29" i="24"/>
  <c r="S28" i="24"/>
  <c r="S30" i="24" s="1"/>
  <c r="D15" i="24" l="1"/>
  <c r="E14" i="24" s="1"/>
  <c r="E16" i="24" s="1"/>
  <c r="C44" i="12"/>
  <c r="B31" i="12"/>
  <c r="AL69" i="24"/>
  <c r="AO69" i="24"/>
  <c r="AE69" i="24"/>
  <c r="BG69" i="24"/>
  <c r="AH69" i="24"/>
  <c r="G69" i="24"/>
  <c r="AZ69" i="24"/>
  <c r="AV69" i="24"/>
  <c r="T69" i="24"/>
  <c r="J69" i="24"/>
  <c r="AA69" i="24"/>
  <c r="W69" i="24"/>
  <c r="I69" i="24"/>
  <c r="V69" i="24"/>
  <c r="BI69" i="24"/>
  <c r="AI69" i="24"/>
  <c r="BJ69" i="24"/>
  <c r="AU69" i="24"/>
  <c r="N69" i="24"/>
  <c r="AK69" i="24"/>
  <c r="AR69" i="24"/>
  <c r="AX69" i="24"/>
  <c r="Q69" i="24"/>
  <c r="BF69" i="24"/>
  <c r="L69" i="24"/>
  <c r="AB69" i="24"/>
  <c r="AF69" i="24"/>
  <c r="AC69" i="24"/>
  <c r="P69" i="24"/>
  <c r="U69" i="24"/>
  <c r="M69" i="24"/>
  <c r="AY69" i="24"/>
  <c r="AP69" i="24"/>
  <c r="BD69" i="24"/>
  <c r="BB69" i="24"/>
  <c r="BA69" i="24"/>
  <c r="O69" i="24"/>
  <c r="X69" i="24"/>
  <c r="AT69" i="24"/>
  <c r="Y69" i="24"/>
  <c r="AG69" i="24"/>
  <c r="AN69" i="24"/>
  <c r="R69" i="24"/>
  <c r="K69" i="24"/>
  <c r="H69" i="24"/>
  <c r="BH69" i="24"/>
  <c r="AM69" i="24"/>
  <c r="S69" i="24"/>
  <c r="BK69" i="24"/>
  <c r="AS69" i="24"/>
  <c r="AW69" i="24"/>
  <c r="BE69" i="24"/>
  <c r="Z69" i="24"/>
  <c r="AD69" i="24"/>
  <c r="AJ69" i="24"/>
  <c r="BC69" i="24"/>
  <c r="E67" i="24"/>
  <c r="E69" i="24" s="1"/>
  <c r="E68" i="24"/>
  <c r="U14" i="24"/>
  <c r="U13" i="24" s="1"/>
  <c r="U15" i="24" s="1"/>
  <c r="T28" i="24"/>
  <c r="T30" i="24" s="1"/>
  <c r="T29" i="24"/>
  <c r="E15" i="24" l="1"/>
  <c r="F14" i="24" s="1"/>
  <c r="F16" i="24" s="1"/>
  <c r="F13" i="24" s="1"/>
  <c r="F15" i="24" s="1"/>
  <c r="G14" i="24" s="1"/>
  <c r="G13" i="24" s="1"/>
  <c r="G15" i="24" s="1"/>
  <c r="H14" i="24" s="1"/>
  <c r="H13" i="24" s="1"/>
  <c r="H15" i="24" s="1"/>
  <c r="I14" i="24" s="1"/>
  <c r="I13" i="24" s="1"/>
  <c r="I15" i="24" s="1"/>
  <c r="J14" i="24" s="1"/>
  <c r="J13" i="24" s="1"/>
  <c r="J15" i="24" s="1"/>
  <c r="K14" i="24" s="1"/>
  <c r="K13" i="24" s="1"/>
  <c r="K15" i="24" s="1"/>
  <c r="L14" i="24" s="1"/>
  <c r="L13" i="24" s="1"/>
  <c r="L15" i="24" s="1"/>
  <c r="M14" i="24" s="1"/>
  <c r="M13" i="24" s="1"/>
  <c r="M15" i="24" s="1"/>
  <c r="N14" i="24" s="1"/>
  <c r="N13" i="24" s="1"/>
  <c r="N15" i="24" s="1"/>
  <c r="O14" i="24" s="1"/>
  <c r="O13" i="24" s="1"/>
  <c r="O15" i="24" s="1"/>
  <c r="P14" i="24" s="1"/>
  <c r="P13" i="24" s="1"/>
  <c r="P15" i="24" s="1"/>
  <c r="Q14" i="24" s="1"/>
  <c r="Q13" i="24" s="1"/>
  <c r="Q15" i="24" s="1"/>
  <c r="R14" i="24" s="1"/>
  <c r="R13" i="24" s="1"/>
  <c r="R15" i="24" s="1"/>
  <c r="S14" i="24" s="1"/>
  <c r="S13" i="24" s="1"/>
  <c r="C72" i="24"/>
  <c r="D30" i="12" s="1"/>
  <c r="C46" i="12" s="1"/>
  <c r="F67" i="24"/>
  <c r="F69" i="24" s="1"/>
  <c r="C71" i="24" s="1"/>
  <c r="C30" i="12" s="1"/>
  <c r="F68" i="24"/>
  <c r="G67" i="24" s="1"/>
  <c r="G66" i="24" s="1"/>
  <c r="G68" i="24" s="1"/>
  <c r="H67" i="24" s="1"/>
  <c r="H66" i="24" s="1"/>
  <c r="H68" i="24" s="1"/>
  <c r="I67" i="24" s="1"/>
  <c r="I66" i="24" s="1"/>
  <c r="I68" i="24" s="1"/>
  <c r="J67" i="24" s="1"/>
  <c r="J66" i="24" s="1"/>
  <c r="J68" i="24" s="1"/>
  <c r="K67" i="24" s="1"/>
  <c r="K66" i="24" s="1"/>
  <c r="K68" i="24" s="1"/>
  <c r="L67" i="24" s="1"/>
  <c r="L66" i="24" s="1"/>
  <c r="L68" i="24" s="1"/>
  <c r="M67" i="24" s="1"/>
  <c r="M66" i="24" s="1"/>
  <c r="M68" i="24" s="1"/>
  <c r="N67" i="24" s="1"/>
  <c r="N66" i="24" s="1"/>
  <c r="N68" i="24" s="1"/>
  <c r="O67" i="24" s="1"/>
  <c r="O66" i="24" s="1"/>
  <c r="O68" i="24" s="1"/>
  <c r="P67" i="24" s="1"/>
  <c r="P66" i="24" s="1"/>
  <c r="P68" i="24" s="1"/>
  <c r="Q67" i="24" s="1"/>
  <c r="Q66" i="24" s="1"/>
  <c r="Q68" i="24" s="1"/>
  <c r="R67" i="24" s="1"/>
  <c r="R66" i="24" s="1"/>
  <c r="R68" i="24" s="1"/>
  <c r="S67" i="24" s="1"/>
  <c r="S66" i="24" s="1"/>
  <c r="S68" i="24" s="1"/>
  <c r="T67" i="24" s="1"/>
  <c r="T66" i="24" s="1"/>
  <c r="T68" i="24" s="1"/>
  <c r="V14" i="24"/>
  <c r="V13" i="24" s="1"/>
  <c r="V15" i="24" s="1"/>
  <c r="U29" i="24"/>
  <c r="U28" i="24"/>
  <c r="U30" i="24" s="1"/>
  <c r="C73" i="24" l="1"/>
  <c r="C74" i="24" s="1"/>
  <c r="C75" i="24" s="1"/>
  <c r="G30" i="12" s="1"/>
  <c r="G31" i="12" s="1"/>
  <c r="U67" i="24"/>
  <c r="U66" i="24" s="1"/>
  <c r="U68" i="24" s="1"/>
  <c r="V67" i="24" s="1"/>
  <c r="V66" i="24" s="1"/>
  <c r="V68" i="24" s="1"/>
  <c r="W14" i="24"/>
  <c r="W13" i="24" s="1"/>
  <c r="W15" i="24" s="1"/>
  <c r="V29" i="24"/>
  <c r="V28" i="24"/>
  <c r="V30" i="24" s="1"/>
  <c r="F30" i="12" l="1"/>
  <c r="E30" i="12"/>
  <c r="C47" i="12" s="1"/>
  <c r="D38" i="12"/>
  <c r="E38" i="12" s="1"/>
  <c r="C49" i="12"/>
  <c r="W67" i="24"/>
  <c r="W66" i="24" s="1"/>
  <c r="W68" i="24" s="1"/>
  <c r="X14" i="24"/>
  <c r="X13" i="24" s="1"/>
  <c r="X15" i="24" s="1"/>
  <c r="W28" i="24"/>
  <c r="W30" i="24" s="1"/>
  <c r="W29" i="24"/>
  <c r="F31" i="12" l="1"/>
  <c r="C48" i="12" s="1"/>
  <c r="H30" i="12"/>
  <c r="F38" i="12"/>
  <c r="H38" i="12" s="1"/>
  <c r="B41" i="12" s="1"/>
  <c r="D42" i="17" s="1"/>
  <c r="B40" i="12"/>
  <c r="X67" i="24"/>
  <c r="X66" i="24" s="1"/>
  <c r="X68" i="24" s="1"/>
  <c r="Y67" i="24" s="1"/>
  <c r="Y66" i="24" s="1"/>
  <c r="Y68" i="24" s="1"/>
  <c r="Z67" i="24" s="1"/>
  <c r="Z66" i="24" s="1"/>
  <c r="Z68" i="24" s="1"/>
  <c r="Y14" i="24"/>
  <c r="Y13" i="24" s="1"/>
  <c r="Y15" i="24" s="1"/>
  <c r="X29" i="24"/>
  <c r="X28" i="24"/>
  <c r="X30" i="24" s="1"/>
  <c r="B35" i="12" l="1"/>
  <c r="H31" i="12"/>
  <c r="AA67" i="24"/>
  <c r="AA66" i="24" s="1"/>
  <c r="AA68" i="24" s="1"/>
  <c r="Z14" i="24"/>
  <c r="Z13" i="24" s="1"/>
  <c r="Z15" i="24" s="1"/>
  <c r="Y29" i="24"/>
  <c r="Y28" i="24"/>
  <c r="Y30" i="24" s="1"/>
  <c r="AB67" i="24" l="1"/>
  <c r="AB66" i="24" s="1"/>
  <c r="AB68" i="24" s="1"/>
  <c r="AA14" i="24"/>
  <c r="AA13" i="24" s="1"/>
  <c r="AA15" i="24" s="1"/>
  <c r="Z29" i="24"/>
  <c r="Z28" i="24"/>
  <c r="Z30" i="24" s="1"/>
  <c r="AC67" i="24" l="1"/>
  <c r="AC66" i="24" s="1"/>
  <c r="AC68" i="24" s="1"/>
  <c r="AB14" i="24"/>
  <c r="AB13" i="24" s="1"/>
  <c r="AB15" i="24" s="1"/>
  <c r="AA29" i="24"/>
  <c r="AA28" i="24"/>
  <c r="AA30" i="24" s="1"/>
  <c r="AD67" i="24" l="1"/>
  <c r="AD66" i="24" s="1"/>
  <c r="AD68" i="24" s="1"/>
  <c r="AC14" i="24"/>
  <c r="AC13" i="24" s="1"/>
  <c r="AC15" i="24" s="1"/>
  <c r="AB28" i="24"/>
  <c r="AB30" i="24" s="1"/>
  <c r="AB29" i="24"/>
  <c r="AE67" i="24" l="1"/>
  <c r="AE66" i="24" s="1"/>
  <c r="AE68" i="24" s="1"/>
  <c r="AD14" i="24"/>
  <c r="AD13" i="24" s="1"/>
  <c r="AD15" i="24" s="1"/>
  <c r="AC29" i="24"/>
  <c r="AC28" i="24"/>
  <c r="AC30" i="24" s="1"/>
  <c r="AF67" i="24" l="1"/>
  <c r="AF66" i="24" s="1"/>
  <c r="AF68" i="24" s="1"/>
  <c r="AE14" i="24"/>
  <c r="AE13" i="24" s="1"/>
  <c r="AE15" i="24"/>
  <c r="AD28" i="24"/>
  <c r="AD30" i="24" s="1"/>
  <c r="AD29" i="24"/>
  <c r="AG67" i="24" l="1"/>
  <c r="AG66" i="24" s="1"/>
  <c r="AG68" i="24" s="1"/>
  <c r="AF14" i="24"/>
  <c r="AF13" i="24" s="1"/>
  <c r="AF15" i="24" s="1"/>
  <c r="AE29" i="24"/>
  <c r="AE28" i="24"/>
  <c r="AE30" i="24" s="1"/>
  <c r="AH67" i="24" l="1"/>
  <c r="AH66" i="24" s="1"/>
  <c r="AH68" i="24" s="1"/>
  <c r="AG14" i="24"/>
  <c r="AG13" i="24" s="1"/>
  <c r="AG15" i="24"/>
  <c r="AF29" i="24"/>
  <c r="AF28" i="24"/>
  <c r="AF30" i="24" s="1"/>
  <c r="AI67" i="24" l="1"/>
  <c r="AI66" i="24" s="1"/>
  <c r="AI68" i="24" s="1"/>
  <c r="AH14" i="24"/>
  <c r="AH13" i="24" s="1"/>
  <c r="AH15" i="24" s="1"/>
  <c r="AG28" i="24"/>
  <c r="AG30" i="24" s="1"/>
  <c r="AG29" i="24"/>
  <c r="AJ67" i="24" l="1"/>
  <c r="AJ66" i="24" s="1"/>
  <c r="AJ68" i="24" s="1"/>
  <c r="AI14" i="24"/>
  <c r="AI13" i="24" s="1"/>
  <c r="AI15" i="24"/>
  <c r="AH29" i="24"/>
  <c r="AH28" i="24"/>
  <c r="AH30" i="24" s="1"/>
  <c r="AK67" i="24" l="1"/>
  <c r="AK66" i="24" s="1"/>
  <c r="AK68" i="24" s="1"/>
  <c r="AJ14" i="24"/>
  <c r="AJ13" i="24" s="1"/>
  <c r="AJ15" i="24"/>
  <c r="AI29" i="24"/>
  <c r="AI28" i="24"/>
  <c r="AI30" i="24" s="1"/>
  <c r="AL67" i="24" l="1"/>
  <c r="AL66" i="24" s="1"/>
  <c r="AL68" i="24" s="1"/>
  <c r="AK14" i="24"/>
  <c r="AK13" i="24" s="1"/>
  <c r="AK15" i="24"/>
  <c r="AJ28" i="24"/>
  <c r="AJ30" i="24" s="1"/>
  <c r="AJ29" i="24"/>
  <c r="AM67" i="24" l="1"/>
  <c r="AM66" i="24" s="1"/>
  <c r="AM68" i="24" s="1"/>
  <c r="AL14" i="24"/>
  <c r="AL13" i="24" s="1"/>
  <c r="AL15" i="24"/>
  <c r="AK29" i="24"/>
  <c r="AK28" i="24"/>
  <c r="AK30" i="24" s="1"/>
  <c r="AN67" i="24" l="1"/>
  <c r="AN66" i="24" s="1"/>
  <c r="AN68" i="24" s="1"/>
  <c r="AM14" i="24"/>
  <c r="AM13" i="24" s="1"/>
  <c r="AM15" i="24"/>
  <c r="AN14" i="24" s="1"/>
  <c r="AN13" i="24" s="1"/>
  <c r="AL29" i="24"/>
  <c r="AL28" i="24"/>
  <c r="AL30" i="24" s="1"/>
  <c r="AO67" i="24" l="1"/>
  <c r="AO66" i="24" s="1"/>
  <c r="AO68" i="24" s="1"/>
  <c r="AM29" i="24"/>
  <c r="AM28" i="24"/>
  <c r="AM30" i="24" s="1"/>
  <c r="AP67" i="24" l="1"/>
  <c r="AP66" i="24" s="1"/>
  <c r="AP68" i="24" s="1"/>
  <c r="AN29" i="24"/>
  <c r="AN28" i="24"/>
  <c r="AN30" i="24" s="1"/>
  <c r="AQ67" i="24" l="1"/>
  <c r="AQ66" i="24" s="1"/>
  <c r="AQ68" i="24" s="1"/>
  <c r="AO28" i="24"/>
  <c r="AO30" i="24" s="1"/>
  <c r="AO29" i="24"/>
  <c r="AR67" i="24" l="1"/>
  <c r="AR66" i="24" s="1"/>
  <c r="AR68" i="24" s="1"/>
  <c r="AP29" i="24"/>
  <c r="AP28" i="24"/>
  <c r="AP30" i="24" s="1"/>
  <c r="AS67" i="24" l="1"/>
  <c r="AS66" i="24" s="1"/>
  <c r="AS68" i="24" s="1"/>
  <c r="AQ29" i="24"/>
  <c r="AQ28" i="24"/>
  <c r="AQ30" i="24" s="1"/>
  <c r="AT67" i="24" l="1"/>
  <c r="AT66" i="24" s="1"/>
  <c r="AT68" i="24" s="1"/>
  <c r="AR28" i="24"/>
  <c r="AR30" i="24" s="1"/>
  <c r="AR29" i="24"/>
  <c r="AU67" i="24" l="1"/>
  <c r="AU66" i="24" s="1"/>
  <c r="AU68" i="24" s="1"/>
  <c r="AS29" i="24"/>
  <c r="AS28" i="24"/>
  <c r="AS30" i="24" s="1"/>
  <c r="AV67" i="24" l="1"/>
  <c r="AV66" i="24" s="1"/>
  <c r="AV68" i="24" s="1"/>
  <c r="AT29" i="24"/>
  <c r="AT28" i="24"/>
  <c r="AT30" i="24" s="1"/>
  <c r="AW67" i="24" l="1"/>
  <c r="AW66" i="24" s="1"/>
  <c r="AW68" i="24" s="1"/>
  <c r="AU29" i="24"/>
  <c r="AU28" i="24"/>
  <c r="AU30" i="24" s="1"/>
  <c r="AX67" i="24" l="1"/>
  <c r="AX66" i="24" s="1"/>
  <c r="AX68" i="24" s="1"/>
  <c r="AV29" i="24"/>
  <c r="AV28" i="24"/>
  <c r="AV30" i="24" s="1"/>
  <c r="AY67" i="24" l="1"/>
  <c r="AY66" i="24" s="1"/>
  <c r="AY68" i="24" s="1"/>
  <c r="AW29" i="24"/>
  <c r="AW28" i="24"/>
  <c r="AW30" i="24" s="1"/>
  <c r="AZ67" i="24" l="1"/>
  <c r="AZ66" i="24" s="1"/>
  <c r="AZ68" i="24" s="1"/>
  <c r="AX28" i="24"/>
  <c r="AX30" i="24" s="1"/>
  <c r="AX29" i="24"/>
  <c r="BA67" i="24" l="1"/>
  <c r="BA66" i="24" s="1"/>
  <c r="BA68" i="24" s="1"/>
  <c r="AY29" i="24"/>
  <c r="AY28" i="24"/>
  <c r="AY30" i="24" s="1"/>
  <c r="BB67" i="24" l="1"/>
  <c r="BB66" i="24" s="1"/>
  <c r="BB68" i="24" s="1"/>
  <c r="AZ28" i="24"/>
  <c r="AZ30" i="24" s="1"/>
  <c r="AZ29" i="24"/>
  <c r="BC67" i="24" l="1"/>
  <c r="BC66" i="24" s="1"/>
  <c r="BC68" i="24" s="1"/>
  <c r="BA29" i="24"/>
  <c r="BA28" i="24"/>
  <c r="BA30" i="24" s="1"/>
  <c r="BD67" i="24" l="1"/>
  <c r="BD66" i="24" s="1"/>
  <c r="BD68" i="24" s="1"/>
  <c r="BB29" i="24"/>
  <c r="BB28" i="24"/>
  <c r="BB30" i="24" s="1"/>
  <c r="BE67" i="24" l="1"/>
  <c r="BE66" i="24" s="1"/>
  <c r="BE68" i="24" s="1"/>
  <c r="BC29" i="24"/>
  <c r="BC28" i="24"/>
  <c r="BC30" i="24" s="1"/>
  <c r="BF67" i="24" l="1"/>
  <c r="BF66" i="24" s="1"/>
  <c r="BF68" i="24" s="1"/>
  <c r="BD29" i="24"/>
  <c r="BD28" i="24"/>
  <c r="BD30" i="24" s="1"/>
  <c r="BG67" i="24" l="1"/>
  <c r="BG66" i="24" s="1"/>
  <c r="BG68" i="24" s="1"/>
  <c r="BE28" i="24"/>
  <c r="BE30" i="24" s="1"/>
  <c r="BE29" i="24"/>
  <c r="BH67" i="24" l="1"/>
  <c r="BH66" i="24" s="1"/>
  <c r="BH68" i="24" s="1"/>
  <c r="BF28" i="24"/>
  <c r="BF30" i="24" s="1"/>
  <c r="BF29" i="24"/>
  <c r="BI67" i="24" l="1"/>
  <c r="BI66" i="24" s="1"/>
  <c r="BI68" i="24" s="1"/>
  <c r="BG29" i="24"/>
  <c r="BG28" i="24"/>
  <c r="BG30" i="24" s="1"/>
  <c r="BJ67" i="24" l="1"/>
  <c r="BJ66" i="24" s="1"/>
  <c r="BJ68" i="24" s="1"/>
  <c r="BH28" i="24"/>
  <c r="BH30" i="24" s="1"/>
  <c r="BH29" i="24"/>
  <c r="BK67" i="24" l="1"/>
  <c r="BK66" i="24" s="1"/>
  <c r="BK68" i="24" s="1"/>
  <c r="BI28" i="24"/>
  <c r="BI30" i="24" s="1"/>
  <c r="BI29" i="24"/>
  <c r="BL67" i="24" l="1"/>
  <c r="BL66" i="24" s="1"/>
  <c r="BL68" i="24" s="1"/>
  <c r="BJ28" i="24"/>
  <c r="BJ30" i="24" s="1"/>
  <c r="BJ29" i="24"/>
  <c r="BM67" i="24" l="1"/>
  <c r="BM66" i="24" s="1"/>
  <c r="BM68" i="24"/>
  <c r="BK28" i="24"/>
  <c r="BK30" i="24" s="1"/>
  <c r="BK29" i="24"/>
  <c r="BN67" i="24" l="1"/>
  <c r="BN66" i="24" s="1"/>
  <c r="BN68" i="24" s="1"/>
  <c r="BL29" i="24"/>
  <c r="BL28" i="24"/>
  <c r="BL30" i="24" s="1"/>
  <c r="BO67" i="24" l="1"/>
  <c r="BO66" i="24" s="1"/>
  <c r="BO68" i="24" s="1"/>
  <c r="BM29" i="24"/>
  <c r="BM28" i="24"/>
  <c r="BM30" i="24" s="1"/>
  <c r="BP67" i="24" l="1"/>
  <c r="BP66" i="24" s="1"/>
  <c r="BP68" i="24" s="1"/>
  <c r="BN28" i="24"/>
  <c r="BN30" i="24" s="1"/>
  <c r="BN29" i="24"/>
  <c r="BQ67" i="24" l="1"/>
  <c r="BQ66" i="24" s="1"/>
  <c r="BQ68" i="24" s="1"/>
  <c r="BO29" i="24"/>
  <c r="BO28" i="24"/>
  <c r="BO30" i="24" s="1"/>
  <c r="BR67" i="24" l="1"/>
  <c r="BR66" i="24" s="1"/>
  <c r="BR68" i="24"/>
  <c r="BP28" i="24"/>
  <c r="BP30" i="24" s="1"/>
  <c r="BP29" i="24"/>
  <c r="BS67" i="24" l="1"/>
  <c r="BS66" i="24" s="1"/>
  <c r="BS68" i="24" s="1"/>
  <c r="BQ28" i="24"/>
  <c r="BQ30" i="24" s="1"/>
  <c r="BQ29" i="24"/>
  <c r="BT67" i="24" l="1"/>
  <c r="BT66" i="24" s="1"/>
  <c r="BT68" i="24" s="1"/>
  <c r="BR29" i="24"/>
  <c r="BR28" i="24"/>
  <c r="BR30" i="24" s="1"/>
  <c r="BU67" i="24" l="1"/>
  <c r="BU66" i="24" s="1"/>
  <c r="BU68" i="24" s="1"/>
  <c r="BS28" i="24"/>
  <c r="BS30" i="24" s="1"/>
  <c r="BS29" i="24"/>
  <c r="BV67" i="24" l="1"/>
  <c r="BV66" i="24" s="1"/>
  <c r="BV68" i="24"/>
  <c r="BT29" i="24"/>
  <c r="BT28" i="24"/>
  <c r="BT30" i="24" s="1"/>
  <c r="BW67" i="24" l="1"/>
  <c r="BW66" i="24" s="1"/>
  <c r="BW68" i="24" s="1"/>
  <c r="BU28" i="24"/>
  <c r="BU30" i="24" s="1"/>
  <c r="BU29" i="24"/>
  <c r="BX67" i="24" l="1"/>
  <c r="BX66" i="24" s="1"/>
  <c r="BX68" i="24" s="1"/>
  <c r="BV28" i="24"/>
  <c r="BV30" i="24" s="1"/>
  <c r="BV29" i="24"/>
  <c r="BY67" i="24" l="1"/>
  <c r="BY66" i="24" s="1"/>
  <c r="BY68" i="24"/>
  <c r="BW29" i="24"/>
  <c r="BW28" i="24"/>
  <c r="BW30" i="24" s="1"/>
  <c r="BZ67" i="24" l="1"/>
  <c r="BZ66" i="24" s="1"/>
  <c r="BZ68" i="24"/>
  <c r="BX28" i="24"/>
  <c r="BX30" i="24" s="1"/>
  <c r="BX29" i="24"/>
  <c r="CA67" i="24" l="1"/>
  <c r="CA66" i="24" s="1"/>
  <c r="CA68" i="24"/>
  <c r="BY29" i="24"/>
  <c r="BY28" i="24"/>
  <c r="BY30" i="24" s="1"/>
  <c r="CB67" i="24" l="1"/>
  <c r="CB66" i="24" s="1"/>
  <c r="CB68" i="24"/>
  <c r="BZ28" i="24"/>
  <c r="BZ30" i="24" s="1"/>
  <c r="BZ29" i="24"/>
  <c r="CC67" i="24" l="1"/>
  <c r="CC66" i="24" s="1"/>
  <c r="CC68" i="24"/>
  <c r="CA29" i="24"/>
  <c r="CA28" i="24"/>
  <c r="CA30" i="24" s="1"/>
  <c r="CD67" i="24" l="1"/>
  <c r="CD66" i="24" s="1"/>
  <c r="CD68" i="24"/>
  <c r="CB29" i="24"/>
  <c r="CB28" i="24"/>
  <c r="CB30" i="24" s="1"/>
  <c r="CE67" i="24" l="1"/>
  <c r="CE66" i="24" s="1"/>
  <c r="CE68" i="24"/>
  <c r="CC29" i="24"/>
  <c r="CC28" i="24"/>
  <c r="CC30" i="24" s="1"/>
  <c r="CF67" i="24" l="1"/>
  <c r="CF66" i="24" s="1"/>
  <c r="CF68" i="24" s="1"/>
  <c r="CD28" i="24"/>
  <c r="CD30" i="24" s="1"/>
  <c r="CD29" i="24"/>
  <c r="CG67" i="24" l="1"/>
  <c r="CG66" i="24" s="1"/>
  <c r="CG68" i="24" s="1"/>
  <c r="CE29" i="24"/>
  <c r="CE28" i="24"/>
  <c r="CE30" i="24" s="1"/>
  <c r="CH67" i="24" l="1"/>
  <c r="CH66" i="24" s="1"/>
  <c r="CH68" i="24" s="1"/>
  <c r="CF28" i="24"/>
  <c r="CF30" i="24" s="1"/>
  <c r="CF29" i="24"/>
  <c r="CI67" i="24" l="1"/>
  <c r="CI66" i="24" s="1"/>
  <c r="CI68" i="24"/>
  <c r="CG28" i="24"/>
  <c r="CG30" i="24" s="1"/>
  <c r="CG29" i="24"/>
  <c r="CJ67" i="24" l="1"/>
  <c r="CJ66" i="24" s="1"/>
  <c r="CJ68" i="24" s="1"/>
  <c r="CH28" i="24"/>
  <c r="CH30" i="24" s="1"/>
  <c r="CH29" i="24"/>
  <c r="CK67" i="24" l="1"/>
  <c r="CK66" i="24" s="1"/>
  <c r="CK68" i="24"/>
  <c r="CI28" i="24"/>
  <c r="CI30" i="24" s="1"/>
  <c r="CI29" i="24"/>
  <c r="CL67" i="24" l="1"/>
  <c r="CL66" i="24" s="1"/>
  <c r="CL68" i="24" s="1"/>
  <c r="CJ29" i="24"/>
  <c r="CJ28" i="24"/>
  <c r="CJ30" i="24" s="1"/>
  <c r="CM67" i="24" l="1"/>
  <c r="CM66" i="24" s="1"/>
  <c r="CM68" i="24"/>
  <c r="CK29" i="24"/>
  <c r="CK28" i="24"/>
  <c r="CK30" i="24" s="1"/>
  <c r="CN67" i="24" l="1"/>
  <c r="CN66" i="24" s="1"/>
  <c r="CN68" i="24"/>
  <c r="CL28" i="24"/>
  <c r="CL30" i="24" s="1"/>
  <c r="CL29" i="24"/>
  <c r="CO67" i="24" l="1"/>
  <c r="CO66" i="24" s="1"/>
  <c r="CO68" i="24"/>
  <c r="CM29" i="24"/>
  <c r="CM28" i="24"/>
  <c r="CM30" i="24" s="1"/>
  <c r="CP67" i="24" l="1"/>
  <c r="CP66" i="24" s="1"/>
  <c r="CP68" i="24"/>
  <c r="CN28" i="24"/>
  <c r="CN30" i="24" s="1"/>
  <c r="CN29" i="24"/>
  <c r="CQ67" i="24" l="1"/>
  <c r="CQ66" i="24" s="1"/>
  <c r="CQ68" i="24"/>
  <c r="CO29" i="24"/>
  <c r="CO28" i="24"/>
  <c r="CO30" i="24" s="1"/>
  <c r="CR67" i="24" l="1"/>
  <c r="CR66" i="24" s="1"/>
  <c r="CR68" i="24"/>
  <c r="CP29" i="24"/>
  <c r="CP28" i="24"/>
  <c r="CP30" i="24" s="1"/>
  <c r="CS67" i="24" l="1"/>
  <c r="CS66" i="24" s="1"/>
  <c r="CS68" i="24"/>
  <c r="CQ29" i="24"/>
  <c r="CQ28" i="24"/>
  <c r="CQ30" i="24" s="1"/>
  <c r="CT67" i="24" l="1"/>
  <c r="CT66" i="24" s="1"/>
  <c r="CT68" i="24"/>
  <c r="CR29" i="24"/>
  <c r="CR28" i="24"/>
  <c r="CR30" i="24" s="1"/>
  <c r="CU67" i="24" l="1"/>
  <c r="CU66" i="24" s="1"/>
  <c r="CU68" i="24" s="1"/>
  <c r="CS28" i="24"/>
  <c r="CS30" i="24" s="1"/>
  <c r="CS29" i="24"/>
  <c r="CV68" i="24" l="1"/>
  <c r="CV67" i="24"/>
  <c r="CV66" i="24" s="1"/>
  <c r="CT28" i="24"/>
  <c r="CT30" i="24" s="1"/>
  <c r="CT29" i="24"/>
  <c r="CW67" i="24" l="1"/>
  <c r="CW66" i="24" s="1"/>
  <c r="CW68" i="24"/>
  <c r="CU29" i="24"/>
  <c r="CU28" i="24"/>
  <c r="CU30" i="24" s="1"/>
  <c r="CX67" i="24" l="1"/>
  <c r="CX66" i="24" s="1"/>
  <c r="CX68" i="24"/>
  <c r="CV28" i="24"/>
  <c r="CV30" i="24" s="1"/>
  <c r="CV29" i="24"/>
  <c r="CY67" i="24" l="1"/>
  <c r="CY66" i="24" s="1"/>
  <c r="CY68" i="24"/>
  <c r="CW29" i="24"/>
  <c r="CW28" i="24"/>
  <c r="CW30" i="24" s="1"/>
  <c r="CZ67" i="24" l="1"/>
  <c r="CZ66" i="24" s="1"/>
  <c r="CZ68" i="24" s="1"/>
  <c r="CX29" i="24"/>
  <c r="CX28" i="24"/>
  <c r="CX30" i="24" s="1"/>
  <c r="DA67" i="24" l="1"/>
  <c r="DA66" i="24" s="1"/>
  <c r="DA68" i="24" s="1"/>
  <c r="CY28" i="24"/>
  <c r="CY30" i="24" s="1"/>
  <c r="CY29" i="24"/>
  <c r="DB67" i="24" l="1"/>
  <c r="DB66" i="24" s="1"/>
  <c r="DB68" i="24" s="1"/>
  <c r="CZ29" i="24"/>
  <c r="CZ28" i="24"/>
  <c r="CZ30" i="24" s="1"/>
  <c r="DC67" i="24" l="1"/>
  <c r="DC66" i="24" s="1"/>
  <c r="DC68" i="24" s="1"/>
  <c r="DA28" i="24"/>
  <c r="DA30" i="24" s="1"/>
  <c r="DA29" i="24"/>
  <c r="DD67" i="24" l="1"/>
  <c r="DD66" i="24" s="1"/>
  <c r="DD68" i="24" s="1"/>
  <c r="DB28" i="24"/>
  <c r="DB30" i="24" s="1"/>
  <c r="DB29" i="24"/>
  <c r="DE67" i="24" l="1"/>
  <c r="DE66" i="24" s="1"/>
  <c r="DE68" i="24" s="1"/>
  <c r="DC29" i="24"/>
  <c r="DC28" i="24"/>
  <c r="DC30" i="24" s="1"/>
  <c r="DF67" i="24" l="1"/>
  <c r="DF66" i="24" s="1"/>
  <c r="DF68" i="24" s="1"/>
  <c r="DD28" i="24"/>
  <c r="DD30" i="24" s="1"/>
  <c r="DD29" i="24"/>
  <c r="DG67" i="24" l="1"/>
  <c r="DG66" i="24" s="1"/>
  <c r="DG68" i="24"/>
  <c r="DE29" i="24"/>
  <c r="DE28" i="24"/>
  <c r="DE30" i="24" s="1"/>
  <c r="DH67" i="24" l="1"/>
  <c r="DH66" i="24" s="1"/>
  <c r="DH68" i="24" s="1"/>
  <c r="DF29" i="24"/>
  <c r="DF28" i="24"/>
  <c r="DF30" i="24" s="1"/>
  <c r="DI67" i="24" l="1"/>
  <c r="DI66" i="24" s="1"/>
  <c r="DI68" i="24"/>
  <c r="DG28" i="24"/>
  <c r="DG30" i="24" s="1"/>
  <c r="DG29" i="24"/>
  <c r="DJ67" i="24" l="1"/>
  <c r="DJ66" i="24" s="1"/>
  <c r="DJ68" i="24" s="1"/>
  <c r="DH29" i="24"/>
  <c r="DH28" i="24"/>
  <c r="DH30" i="24" s="1"/>
  <c r="DK67" i="24" l="1"/>
  <c r="DK66" i="24" s="1"/>
  <c r="DK68" i="24"/>
  <c r="DI28" i="24"/>
  <c r="DI30" i="24" s="1"/>
  <c r="DI29" i="24"/>
  <c r="DL67" i="24" l="1"/>
  <c r="DL66" i="24" s="1"/>
  <c r="DL68" i="24" s="1"/>
  <c r="DJ29" i="24"/>
  <c r="DJ28" i="24"/>
  <c r="DJ30" i="24" s="1"/>
  <c r="DM67" i="24" l="1"/>
  <c r="DM66" i="24" s="1"/>
  <c r="DM68" i="24"/>
  <c r="DK29" i="24"/>
  <c r="DK28" i="24"/>
  <c r="DK30" i="24" s="1"/>
  <c r="DN67" i="24" l="1"/>
  <c r="DN66" i="24" s="1"/>
  <c r="DN68" i="24" s="1"/>
  <c r="DL28" i="24"/>
  <c r="DL30" i="24" s="1"/>
  <c r="DL29" i="24"/>
  <c r="DO67" i="24" l="1"/>
  <c r="DO66" i="24" s="1"/>
  <c r="DO68" i="24" s="1"/>
  <c r="DM28" i="24"/>
  <c r="DM30" i="24" s="1"/>
  <c r="DM29" i="24"/>
  <c r="DP67" i="24" l="1"/>
  <c r="DP66" i="24" s="1"/>
  <c r="DP68" i="24"/>
  <c r="DN28" i="24"/>
  <c r="DN30" i="24" s="1"/>
  <c r="DN29" i="24"/>
  <c r="DQ67" i="24" l="1"/>
  <c r="DQ66" i="24" s="1"/>
  <c r="DQ68" i="24" s="1"/>
  <c r="DO28" i="24"/>
  <c r="DO30" i="24" s="1"/>
  <c r="DO29" i="24"/>
  <c r="DR67" i="24" l="1"/>
  <c r="DR66" i="24" s="1"/>
  <c r="DR68" i="24"/>
  <c r="DP29" i="24"/>
  <c r="DP28" i="24"/>
  <c r="DP30" i="24" s="1"/>
  <c r="DS67" i="24" l="1"/>
  <c r="DS66" i="24" s="1"/>
  <c r="DS68" i="24" s="1"/>
  <c r="DQ28" i="24"/>
  <c r="DQ30" i="24" s="1"/>
  <c r="DQ29" i="24"/>
  <c r="DR29" i="24" l="1"/>
  <c r="DR28" i="24"/>
  <c r="DR30" i="24" s="1"/>
  <c r="DS29" i="24" l="1"/>
  <c r="DS28" i="24"/>
  <c r="DS30"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P6" authorId="0" shapeId="0" xr:uid="{B7DDCF60-A31D-4930-82B4-E8020BDF1E25}">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 ref="P15" authorId="0" shapeId="0" xr:uid="{1D314C50-DFF5-4CF5-924C-1E9ABECCC378}">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 ref="P24" authorId="0" shapeId="0" xr:uid="{39D5284B-1913-4323-8F6C-DD4593CD6679}">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 ref="P33" authorId="0" shapeId="0" xr:uid="{FAF97CE7-0EB0-46C3-9835-5A2DB1DCF05E}">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 ref="P42" authorId="0" shapeId="0" xr:uid="{3C529240-4349-4BD6-B312-DCEE7507590A}">
      <text>
        <r>
          <rPr>
            <b/>
            <sz val="9"/>
            <color indexed="81"/>
            <rFont val="Tahoma"/>
            <family val="2"/>
          </rPr>
          <t xml:space="preserve">Ventas diarias de las unidades mensuales: </t>
        </r>
        <r>
          <rPr>
            <sz val="9"/>
            <color indexed="81"/>
            <rFont val="Tahoma"/>
            <family val="2"/>
          </rPr>
          <t>Se toman del promedio mensual. Cantidad de unidades a vender del Producto o Servicio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Alejandro</author>
  </authors>
  <commentList>
    <comment ref="B8" authorId="0" shapeId="0" xr:uid="{E7CEB7C6-D4FE-4D29-86A5-CAC5680A7D4D}">
      <text>
        <r>
          <rPr>
            <b/>
            <sz val="9"/>
            <color indexed="81"/>
            <rFont val="Tahoma"/>
            <family val="2"/>
          </rPr>
          <t>Plan de Negocio:
¿Cuánto de este insumo o Materia Prima se necesita para produccir ESTE Producto Servicio?</t>
        </r>
      </text>
    </comment>
    <comment ref="C8" authorId="0" shapeId="0" xr:uid="{5746A2F9-7BBD-420E-A5E9-5DF228B7B5B4}">
      <text>
        <r>
          <rPr>
            <b/>
            <sz val="9"/>
            <color indexed="81"/>
            <rFont val="Tahoma"/>
            <family val="2"/>
          </rPr>
          <t>Plan de Negocio:
¿Cuál es el valor de este Insumo o Materia Prima en el mercado? 
¿A qué precio se lo vende SU PROVEEDOR?</t>
        </r>
      </text>
    </comment>
    <comment ref="B25" authorId="0" shapeId="0" xr:uid="{2904F0BF-ACDD-4B05-961A-B09EF2D3DDDA}">
      <text>
        <r>
          <rPr>
            <b/>
            <sz val="9"/>
            <color indexed="81"/>
            <rFont val="Tahoma"/>
            <family val="2"/>
          </rPr>
          <t>Plan de Negocio:
¿Cuánto de este insumo o Materia Prima se necesita para produccir ESTE Producto Servicio?</t>
        </r>
      </text>
    </comment>
    <comment ref="C25" authorId="0" shapeId="0" xr:uid="{2DAEB7F8-4D6D-411D-B47E-6FB7E26EFC3D}">
      <text>
        <r>
          <rPr>
            <b/>
            <sz val="9"/>
            <color indexed="81"/>
            <rFont val="Tahoma"/>
            <family val="2"/>
          </rPr>
          <t>Plan de Negocio:
¿Cuál es el valor de este Insumo o Materia Prima en el mercado? 
¿A qué precio se lo vende SU PROVEEDOR?</t>
        </r>
      </text>
    </comment>
    <comment ref="B43" authorId="0" shapeId="0" xr:uid="{E67F9D68-C19D-4D82-B5DD-CB77DCA3C16D}">
      <text>
        <r>
          <rPr>
            <b/>
            <sz val="9"/>
            <color indexed="81"/>
            <rFont val="Tahoma"/>
            <family val="2"/>
          </rPr>
          <t>Plan de Negocio:
¿Cuánto de este insumo o Materia Prima se necesita para produccir ESTE Producto Servicio?</t>
        </r>
      </text>
    </comment>
    <comment ref="C43" authorId="0" shapeId="0" xr:uid="{024B2EAD-95E0-40C3-862B-EF68C5641A50}">
      <text>
        <r>
          <rPr>
            <b/>
            <sz val="9"/>
            <color indexed="81"/>
            <rFont val="Tahoma"/>
            <family val="2"/>
          </rPr>
          <t>Plan de Negocio:
¿Cuál es el valor de este Insumo o Materia Prima en el mercado? 
¿A qué precio se lo vende SU PROVEEDOR?</t>
        </r>
      </text>
    </comment>
    <comment ref="B61" authorId="0" shapeId="0" xr:uid="{B3A7BFF3-3A51-452F-99D3-B14EEFE3970E}">
      <text>
        <r>
          <rPr>
            <b/>
            <sz val="9"/>
            <color indexed="81"/>
            <rFont val="Tahoma"/>
            <family val="2"/>
          </rPr>
          <t>Plan de Negocio:
¿Cuánto de este insumo o Materia Prima se necesita para produccir ESTE Producto Servicio?</t>
        </r>
      </text>
    </comment>
    <comment ref="C61" authorId="0" shapeId="0" xr:uid="{AA789312-6FC8-43BD-9C04-498C9953C703}">
      <text>
        <r>
          <rPr>
            <b/>
            <sz val="9"/>
            <color indexed="81"/>
            <rFont val="Tahoma"/>
            <family val="2"/>
          </rPr>
          <t>Plan de Negocio:
¿Cuál es el valor de este Insumo o Materia Prima en el mercado? 
¿A qué precio se lo vende SU PROVEEDOR?</t>
        </r>
      </text>
    </comment>
    <comment ref="B79" authorId="0" shapeId="0" xr:uid="{D8F6C6E2-0721-4D17-8B57-A82167B9F030}">
      <text>
        <r>
          <rPr>
            <b/>
            <sz val="9"/>
            <color indexed="81"/>
            <rFont val="Tahoma"/>
            <family val="2"/>
          </rPr>
          <t>Plan de Negocio:
¿Cuánto de este insumo o Materia Prima se necesita para produccir ESTE Producto Servicio?</t>
        </r>
      </text>
    </comment>
    <comment ref="C79" authorId="0" shapeId="0" xr:uid="{3214C375-F5D8-4002-8CB9-C463ADEE99C9}">
      <text>
        <r>
          <rPr>
            <b/>
            <sz val="9"/>
            <color indexed="81"/>
            <rFont val="Tahoma"/>
            <family val="2"/>
          </rPr>
          <t>Plan de Negocio:
¿Cuál es el valor de este Insumo o Materia Prima en el mercado? 
¿A qué precio se lo vende SU PROVEEDOR?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samael8adp .</author>
  </authors>
  <commentList>
    <comment ref="A6" authorId="0" shapeId="0" xr:uid="{20DAA65F-4A04-406F-88DF-B5475A805107}">
      <text>
        <r>
          <rPr>
            <b/>
            <sz val="9"/>
            <color indexed="81"/>
            <rFont val="Tahoma"/>
            <family val="2"/>
          </rPr>
          <t>Un aviso externo de local comercial es la pieza publicitaria fisica que se encuentra en la parte externa del local comercial, donde se puede ver el logo llamativo del negocio para atraer clientes.</t>
        </r>
      </text>
    </comment>
    <comment ref="A7" authorId="0" shapeId="0" xr:uid="{41409C2B-2AFF-4C7E-AB65-D85717C92A14}">
      <text>
        <r>
          <rPr>
            <b/>
            <sz val="9"/>
            <color indexed="81"/>
            <rFont val="Tahoma"/>
            <family val="2"/>
          </rPr>
          <t xml:space="preserve">Para Stands comerciales y ferias de emprendimiento </t>
        </r>
      </text>
    </comment>
  </commentList>
</comments>
</file>

<file path=xl/sharedStrings.xml><?xml version="1.0" encoding="utf-8"?>
<sst xmlns="http://schemas.openxmlformats.org/spreadsheetml/2006/main" count="1171" uniqueCount="562">
  <si>
    <t>1. TERRENOS Y CONSTRUCCIONES</t>
  </si>
  <si>
    <t>Unidad</t>
  </si>
  <si>
    <t>Cantidad</t>
  </si>
  <si>
    <t>Precio</t>
  </si>
  <si>
    <t>Total</t>
  </si>
  <si>
    <t>1.1 Adecuaciones Locativas</t>
  </si>
  <si>
    <t>Adecuación a Realizar</t>
  </si>
  <si>
    <t>Subtotal</t>
  </si>
  <si>
    <t>2. MAQUINARIA Y EQUIPOS</t>
  </si>
  <si>
    <t>Maquinaria</t>
  </si>
  <si>
    <t xml:space="preserve">3. MUEBLES Y ENSERES </t>
  </si>
  <si>
    <t>4. EQUIPOS DE OFICINA</t>
  </si>
  <si>
    <t>Equipo de oficina</t>
  </si>
  <si>
    <t>1. Inversiones fijas</t>
  </si>
  <si>
    <t>Equipos Producción</t>
  </si>
  <si>
    <t>Herramientas</t>
  </si>
  <si>
    <t>Otras Maquinas, herramientas y/o Equipos de producción</t>
  </si>
  <si>
    <t>Elementos de SST (Camillas, extintores, botiquín)</t>
  </si>
  <si>
    <t>Otros Muebles y Enseres</t>
  </si>
  <si>
    <t>Enseres</t>
  </si>
  <si>
    <t>Otros Equipos de Oficina</t>
  </si>
  <si>
    <t>Nombre del Producto o Servicio</t>
  </si>
  <si>
    <t>2.1 Analice 3 competidores del mercado</t>
  </si>
  <si>
    <t>Producto o Servicio</t>
  </si>
  <si>
    <t>Nombre del Competidor en el Mercado</t>
  </si>
  <si>
    <t>Precio Promedio Mercado</t>
  </si>
  <si>
    <t>Resultado analisis Precio Promedio en el Mercado versus Competidores</t>
  </si>
  <si>
    <t xml:space="preserve">Breve descripción  del Competidor </t>
  </si>
  <si>
    <t>Proyección de Ventas en Unidades</t>
  </si>
  <si>
    <t>3. ¿Cuántas unidades de su producto o servicio se pueden vender en los primeros 5 años de operación de su Negocio?</t>
  </si>
  <si>
    <t>AÑO 1 DE OPERACIÓN DEL NEGOCIO</t>
  </si>
  <si>
    <t>MES 1</t>
  </si>
  <si>
    <t>MES 2</t>
  </si>
  <si>
    <t>MES 3</t>
  </si>
  <si>
    <t>MES 4</t>
  </si>
  <si>
    <t>MES 5</t>
  </si>
  <si>
    <t>MES 6</t>
  </si>
  <si>
    <t>MES 7</t>
  </si>
  <si>
    <t>MES 8</t>
  </si>
  <si>
    <t>MES 9</t>
  </si>
  <si>
    <t>MES 10</t>
  </si>
  <si>
    <t>MES 11</t>
  </si>
  <si>
    <t>MES 12</t>
  </si>
  <si>
    <t>Total año 1</t>
  </si>
  <si>
    <t>Promedio</t>
  </si>
  <si>
    <t>Vtas Diarias</t>
  </si>
  <si>
    <t>AÑO 2 DE OPERACIÓN DEL NEGOCIO</t>
  </si>
  <si>
    <t>Total año 2</t>
  </si>
  <si>
    <t>AÑO 3 DE OPERACIÓN DEL NEGOCIO</t>
  </si>
  <si>
    <t>Total año 3</t>
  </si>
  <si>
    <t>AÑO 4 DE OPERACIÓN DEL NEGOCIO</t>
  </si>
  <si>
    <t>Total año 4</t>
  </si>
  <si>
    <t>AÑO 5 DE OPERACIÓN DEL NEGOCIO</t>
  </si>
  <si>
    <t>Total año 5</t>
  </si>
  <si>
    <t>Promedio Mes</t>
  </si>
  <si>
    <t xml:space="preserve">Ventas diarias </t>
  </si>
  <si>
    <t>Gráficos de Proyecciones de Ventas por año</t>
  </si>
  <si>
    <t>AÑO 1</t>
  </si>
  <si>
    <t>AÑO 2</t>
  </si>
  <si>
    <t>AÑO 3</t>
  </si>
  <si>
    <t>AÑO 4</t>
  </si>
  <si>
    <t>AÑO 5</t>
  </si>
  <si>
    <t>Precio de Venta Año 1</t>
  </si>
  <si>
    <t>Precio de Venta Año 2</t>
  </si>
  <si>
    <t>Precio de Venta Año 3</t>
  </si>
  <si>
    <t>Precio de Venta Año 4</t>
  </si>
  <si>
    <t>Precio de Venta Año 5</t>
  </si>
  <si>
    <t>Reporte consolidado de unidades proyectadas a vender en los primeros 5 años de operación del negocio por producto o servicio</t>
  </si>
  <si>
    <t>Total Unidades a vender en 5 años</t>
  </si>
  <si>
    <t>Precio Unitario de Venta por producto o servicio</t>
  </si>
  <si>
    <t>Precio Promedio de Venta</t>
  </si>
  <si>
    <t>Precio Unitario de Costo Variable (Materias Primas e Insumos) por producto o servicio</t>
  </si>
  <si>
    <t>Precio Promedio de Costo</t>
  </si>
  <si>
    <t xml:space="preserve">Total Proyectados en 5 años </t>
  </si>
  <si>
    <t>Reporte consolidado de Ventas proyectadas en pesos en los primeros 5 años de operación del negocio por producto o servicio</t>
  </si>
  <si>
    <t>Total Ventas Proyectadas  en 5 años</t>
  </si>
  <si>
    <t>Reporte consolidado de Costos Unitarios  Materias Primas proyectados en pesos en los primeros 5 años de operación del negocio por producto o servicio</t>
  </si>
  <si>
    <t>Margen % de utilidad Bruta  por producto o servicio</t>
  </si>
  <si>
    <t>Graficos</t>
  </si>
  <si>
    <t>Presupuesto de Ventas  y Costos Variables proyectados a 5 años</t>
  </si>
  <si>
    <t>4. Presupuesto de materia prima e insumos  (Costo por unidad de producción)</t>
  </si>
  <si>
    <t>Nombre de producto o servicio 1:</t>
  </si>
  <si>
    <r>
      <t xml:space="preserve">nombre de Materia Prima e Insumos requeridos </t>
    </r>
    <r>
      <rPr>
        <b/>
        <sz val="10"/>
        <color rgb="FFFFFF00"/>
        <rFont val="Arial"/>
        <family val="2"/>
      </rPr>
      <t>(como se le conoce Y COMPRA  comunmente en el mercado)</t>
    </r>
  </si>
  <si>
    <t>Cantidad Requerida</t>
  </si>
  <si>
    <t>Valor Unitario Año 1</t>
  </si>
  <si>
    <t>Valor Unitario Año 2</t>
  </si>
  <si>
    <t>Valor Unitario Año 3</t>
  </si>
  <si>
    <t>Valor Unitario Año 4</t>
  </si>
  <si>
    <t>Valor Unitario Año 5</t>
  </si>
  <si>
    <t>Valor Total de esta MP o Insumo Año 1</t>
  </si>
  <si>
    <t>Valor Total de esta MP o Insumo Año 2</t>
  </si>
  <si>
    <t>Valor Total de esta MP o Insumo Año 3</t>
  </si>
  <si>
    <t>Valor Total de esta MP o Insumo Año 4</t>
  </si>
  <si>
    <t>Valor Total de esta MP o Insumo Año 5</t>
  </si>
  <si>
    <t>COSTO UNITARIO DE PRODUCCION</t>
  </si>
  <si>
    <t>Precio de Venta propuesto al cliente para este Producto o Servicio:</t>
  </si>
  <si>
    <r>
      <t xml:space="preserve">Analisis de Utilidad o </t>
    </r>
    <r>
      <rPr>
        <b/>
        <sz val="11"/>
        <color theme="0"/>
        <rFont val="Aptos Narrow"/>
        <family val="2"/>
        <scheme val="minor"/>
      </rPr>
      <t>Pérdida para este Producto o Servicio</t>
    </r>
  </si>
  <si>
    <t>Valoración del Precio de Costo unitario versus Precio de Venta</t>
  </si>
  <si>
    <t>Nombre de producto o servicio 2:</t>
  </si>
  <si>
    <t>Nombre de producto o servicio 3:</t>
  </si>
  <si>
    <t>Nombre de producto o servicio 4:</t>
  </si>
  <si>
    <t>Nombre de producto o servicio 5:</t>
  </si>
  <si>
    <r>
      <t xml:space="preserve">Costeo Técnico de los Productos o Servicios </t>
    </r>
    <r>
      <rPr>
        <b/>
        <u/>
        <sz val="20"/>
        <color rgb="FFFF0000"/>
        <rFont val="Arial"/>
        <family val="2"/>
      </rPr>
      <t>(Costos Variables)</t>
    </r>
    <r>
      <rPr>
        <b/>
        <sz val="20"/>
        <color indexed="12"/>
        <rFont val="Arial"/>
        <family val="2"/>
      </rPr>
      <t xml:space="preserve">
</t>
    </r>
    <r>
      <rPr>
        <b/>
        <sz val="14"/>
        <color indexed="12"/>
        <rFont val="Arial"/>
        <family val="2"/>
      </rPr>
      <t xml:space="preserve">Recuerde verificar el </t>
    </r>
    <r>
      <rPr>
        <b/>
        <i/>
        <u/>
        <sz val="14"/>
        <color rgb="FFFF0000"/>
        <rFont val="Arial"/>
        <family val="2"/>
      </rPr>
      <t xml:space="preserve">Precio de Venta </t>
    </r>
    <r>
      <rPr>
        <b/>
        <sz val="14"/>
        <color indexed="12"/>
        <rFont val="Arial"/>
        <family val="2"/>
      </rPr>
      <t xml:space="preserve"> versus los precios de costos unitarios (variables) pues deben dar "Utilidad"</t>
    </r>
  </si>
  <si>
    <t xml:space="preserve">Total Utilidades BRUTAS  Proyectadas en 5 años </t>
  </si>
  <si>
    <t xml:space="preserve">Total Costos VARIABLES Proyectados en 5 años </t>
  </si>
  <si>
    <t>Reporte consolidado de utilidad BRUTA por unidad de producto o servicio</t>
  </si>
  <si>
    <t xml:space="preserve">Area Funcional </t>
  </si>
  <si>
    <t>Administración</t>
  </si>
  <si>
    <t>Producción</t>
  </si>
  <si>
    <t xml:space="preserve">Ventas </t>
  </si>
  <si>
    <t>Contrato a Término Indefinido</t>
  </si>
  <si>
    <t>Contrato de Prestación de Servicios</t>
  </si>
  <si>
    <t xml:space="preserve">Nombre del Cargo </t>
  </si>
  <si>
    <t>Salario Mes</t>
  </si>
  <si>
    <t>Salud</t>
  </si>
  <si>
    <t>Pensión</t>
  </si>
  <si>
    <t>Auxilio de Transporte</t>
  </si>
  <si>
    <t>Cesantías</t>
  </si>
  <si>
    <t>Intereses sobre Cesantías</t>
  </si>
  <si>
    <t>Prima de Servicios</t>
  </si>
  <si>
    <t>Riesgos Laborales ARL Nivel 1</t>
  </si>
  <si>
    <t>Vacaciones</t>
  </si>
  <si>
    <t>TOTAL Nomina MES</t>
  </si>
  <si>
    <t>Total Nomina Año</t>
  </si>
  <si>
    <t>Meses</t>
  </si>
  <si>
    <r>
      <t xml:space="preserve">Parafiscales  </t>
    </r>
    <r>
      <rPr>
        <b/>
        <sz val="8"/>
        <color rgb="FFFFFF00"/>
        <rFont val="Arial"/>
        <family val="2"/>
      </rPr>
      <t>(SENA - ICBF)</t>
    </r>
  </si>
  <si>
    <t>Ubicación Geograf</t>
  </si>
  <si>
    <t>Reporte consolidado de Utilidad BRUTA por Producto o Servicio en Pesos en los primeros 5 años de operación del negocio por producto o servicio</t>
  </si>
  <si>
    <t>pollo sudado mejor que el de paola jara</t>
  </si>
  <si>
    <t>bandeja paisa</t>
  </si>
  <si>
    <t xml:space="preserve">spaguetty </t>
  </si>
  <si>
    <t>hambugea</t>
  </si>
  <si>
    <t>perro caliente</t>
  </si>
  <si>
    <t xml:space="preserve">Otros Costos Variables Unitarios para  </t>
  </si>
  <si>
    <t>promedio SMMLV</t>
  </si>
  <si>
    <t>6.NOMINA Contratos a Término Indefinido (todas las prestaciones de ley)</t>
  </si>
  <si>
    <t>6.1.Contratos de Prestación de Servicios (Pago Mensual)</t>
  </si>
  <si>
    <t>Tarea que cumplirá el contratista</t>
  </si>
  <si>
    <t>Total a pagar mes a Contratistas PRODUCCIÖN</t>
  </si>
  <si>
    <t>Total a pagar mes a Contratistas ADMINISTRACIÓN</t>
  </si>
  <si>
    <t>Total a pagar mes a Contratistas VENTAS</t>
  </si>
  <si>
    <t>Contratos a Término Indefinido</t>
  </si>
  <si>
    <t>Tipo de Vinculación Laboral</t>
  </si>
  <si>
    <t>Valor a Pagar Mensual</t>
  </si>
  <si>
    <t>Valor a Pagar Anual</t>
  </si>
  <si>
    <t>Contratos Prestación Servicios Producción</t>
  </si>
  <si>
    <t>Contratos Prestación Servicios Administración</t>
  </si>
  <si>
    <t>Contratos Prestación Serviicos Ventas</t>
  </si>
  <si>
    <t>Total Nomina entre Contratos a Témino Indefinido y Contratos de Prestación de Servicios</t>
  </si>
  <si>
    <t>Contador Público</t>
  </si>
  <si>
    <t>Resumen de Nómina Proyectada para el Negocio</t>
  </si>
  <si>
    <t>Pago Mensual</t>
  </si>
  <si>
    <t>SMMLV vigencia</t>
  </si>
  <si>
    <t>Parafiscales</t>
  </si>
  <si>
    <t>produccion</t>
  </si>
  <si>
    <t>Ventas</t>
  </si>
  <si>
    <t>Administracion</t>
  </si>
  <si>
    <r>
      <t xml:space="preserve">Por normatividad laboral colombiana y los términos de referencia de las convocatorias de Fonde Emprender, los empleos </t>
    </r>
    <r>
      <rPr>
        <b/>
        <u/>
        <sz val="12"/>
        <color rgb="FFFF0000"/>
        <rFont val="Aptos Narrow"/>
        <family val="2"/>
        <scheme val="minor"/>
      </rPr>
      <t>DIRECTOS</t>
    </r>
    <r>
      <rPr>
        <b/>
        <sz val="11"/>
        <rFont val="Aptos Narrow"/>
        <family val="2"/>
        <scheme val="minor"/>
      </rPr>
      <t xml:space="preserve"> deben contar con todas prestaciones de ley, y no deben ser inferior a UN (1) SMMLV</t>
    </r>
  </si>
  <si>
    <t>Total Trabajadores</t>
  </si>
  <si>
    <t>Valor de Dotación para 1 trabajador</t>
  </si>
  <si>
    <t>Valor Mes</t>
  </si>
  <si>
    <t>Valor Arriendo del Local Comercial</t>
  </si>
  <si>
    <t>Valor Servicios Públicos del Local Comercial</t>
  </si>
  <si>
    <t>Valor Anual</t>
  </si>
  <si>
    <t>Valor Póliza de Seguro Todo Riesgo</t>
  </si>
  <si>
    <t>Otros Costos Indirectos de Fabricación</t>
  </si>
  <si>
    <t>Valor Año 1</t>
  </si>
  <si>
    <t>Valor Año 2</t>
  </si>
  <si>
    <t>Valor Año 3</t>
  </si>
  <si>
    <t>Valor Año 4</t>
  </si>
  <si>
    <t>Valor Año 5</t>
  </si>
  <si>
    <t>Mantenimiento y reparaciones de maquinas y equipos</t>
  </si>
  <si>
    <t xml:space="preserve">Dotaciones personal </t>
  </si>
  <si>
    <t>Seguro para la empresa Todo Riesgo (% producción)</t>
  </si>
  <si>
    <t>Arrendamientos (una parte a producción)</t>
  </si>
  <si>
    <t>Servicios Públicos Producción</t>
  </si>
  <si>
    <t>Otros costos de producción</t>
  </si>
  <si>
    <t>Mano de Obra directa asignada a Producción</t>
  </si>
  <si>
    <t>7. Costos Fijos</t>
  </si>
  <si>
    <t>Descripción</t>
  </si>
  <si>
    <t xml:space="preserve">Derechos por registro de la matrícula mercantil (capital suscrito) </t>
  </si>
  <si>
    <t xml:space="preserve">CONSTITUCION SAS </t>
  </si>
  <si>
    <t>CONFIG, MODIF Y DECLAR. EXISTENCIA DE GRUPO EMPRESA</t>
  </si>
  <si>
    <t>ESTAMPILLA PROCULTURA</t>
  </si>
  <si>
    <t xml:space="preserve">ESTAMPILLA PROUNIVERSIDAD </t>
  </si>
  <si>
    <t>ESTAMPILLA PRODESARROLLO</t>
  </si>
  <si>
    <t xml:space="preserve">IMPUESTO DE REGISTRO </t>
  </si>
  <si>
    <t>Impuesto de Industria y comercio Alcaldía de Neiva RETEICA</t>
  </si>
  <si>
    <t>FORMULARIO REGISTRO MERCANTIL</t>
  </si>
  <si>
    <t>LIBRO DE ASOCIADOS</t>
  </si>
  <si>
    <t>LIBRO DE JUNTAS DE ACCIONISTAS</t>
  </si>
  <si>
    <t>Bomberos</t>
  </si>
  <si>
    <t>Uso del suelo</t>
  </si>
  <si>
    <t>Otros tramites de formalización</t>
  </si>
  <si>
    <t>Gastos Administrativos Preoperativos</t>
  </si>
  <si>
    <t>Nomina Personal Preoperativos</t>
  </si>
  <si>
    <t>Gastos Publicidad y Promocion Preoperativos</t>
  </si>
  <si>
    <t>Inventario Inicial de Materia Prima</t>
  </si>
  <si>
    <t>Efectivo</t>
  </si>
  <si>
    <t>8. Gastos anticipados Puesta en Marcha del Negocio</t>
  </si>
  <si>
    <t>Rubro</t>
  </si>
  <si>
    <t>Vr. Mensual</t>
  </si>
  <si>
    <t>Total                       Año1</t>
  </si>
  <si>
    <t>Total                       Año2</t>
  </si>
  <si>
    <t>Total                       Año3</t>
  </si>
  <si>
    <t>Total                       Año4</t>
  </si>
  <si>
    <t>Total                       Año5</t>
  </si>
  <si>
    <t>Sueldos a empleados</t>
  </si>
  <si>
    <t>Honorarios Contador</t>
  </si>
  <si>
    <t>Arrendamientos (una parte a Administración)</t>
  </si>
  <si>
    <t>Impuesto Bancario (4 X 1000)</t>
  </si>
  <si>
    <t>Seguro para la empresa Todo Riesgo (% gastos admin)</t>
  </si>
  <si>
    <t>Servicios Públicos Administración</t>
  </si>
  <si>
    <t>Suministros de oficina y limpieza</t>
  </si>
  <si>
    <t>Otros Gastos de administración</t>
  </si>
  <si>
    <t>Gastos Admin sin incluir Nomina</t>
  </si>
  <si>
    <t>Publicidad en Facebook</t>
  </si>
  <si>
    <t>Posicionamiento de sitio web en exploradores</t>
  </si>
  <si>
    <t>Tarjetas de Presentación</t>
  </si>
  <si>
    <t>Empaque del producto</t>
  </si>
  <si>
    <t>Arrendamientos (valor % asignado a gastos de ventas)</t>
  </si>
  <si>
    <t>Servicios públicos Asignados a Ventas</t>
  </si>
  <si>
    <t>Seguro Todo Riesgo (% asignado a gastos de Ventas)</t>
  </si>
  <si>
    <t>Gastos de Personal Asignado a Ventas</t>
  </si>
  <si>
    <t>8.1. Presupuesto de Gastos de Administración</t>
  </si>
  <si>
    <t>8.2  Presupuesto de Gastos de Ventas</t>
  </si>
  <si>
    <t>Aviso externo local comercial----&gt;</t>
  </si>
  <si>
    <t>Pendon(es) publicidad--&gt;</t>
  </si>
  <si>
    <t>Total Gastos Anticipados Puesta en Marcha</t>
  </si>
  <si>
    <t>Gastos anticipados para la Formalización Empresarial en CCN</t>
  </si>
  <si>
    <t>Publicidad Impresa (volantes, afiches)</t>
  </si>
  <si>
    <t>Otros Gastos de ventas  (cuñas radiales, anuncios en prensa, Televisión ect)</t>
  </si>
  <si>
    <t>¿En cuantos meses se estima que se ponga el negocio en ejecución? (Cuanto tiempo demorará comprando las máquinas, equipos, herramientas, muebles, enseres y equipos de oficina)</t>
  </si>
  <si>
    <t>Mes (es)</t>
  </si>
  <si>
    <t>Gastos Ventas sin incluir Nomina</t>
  </si>
  <si>
    <t>Total Costos Fijos de Producción</t>
  </si>
  <si>
    <t>Costos Fijos Sin incluir Nómina</t>
  </si>
  <si>
    <t>IMPUESTO DE REGISTRO (SIN CUANTIA)</t>
  </si>
  <si>
    <t>Resumen de las inversiones</t>
  </si>
  <si>
    <t>Valor</t>
  </si>
  <si>
    <t>Recursos propios</t>
  </si>
  <si>
    <t>Total Inversiones</t>
  </si>
  <si>
    <r>
      <t xml:space="preserve">* Nota: definir los recursos propios con los que el emprendedor iniciará el negocio. (¿Cuánto dinero se va a invertir con recursos propios del emprendedor?) </t>
    </r>
    <r>
      <rPr>
        <b/>
        <sz val="12"/>
        <color rgb="FFFF0000"/>
        <rFont val="Aptos Narrow"/>
        <family val="2"/>
        <scheme val="minor"/>
      </rPr>
      <t xml:space="preserve">10% según requisitos de convocatorias Fondo Emprender </t>
    </r>
  </si>
  <si>
    <r>
      <t xml:space="preserve">Recursos a solicitar a </t>
    </r>
    <r>
      <rPr>
        <b/>
        <i/>
        <u/>
        <sz val="14"/>
        <color rgb="FFFFFF00"/>
        <rFont val="Arial"/>
        <family val="2"/>
      </rPr>
      <t>Fuente de Financiación</t>
    </r>
  </si>
  <si>
    <t>Gastos anticipados Puesta en marcha</t>
  </si>
  <si>
    <t xml:space="preserve"> Inversiones fijas (maquinas, equipos, ect)</t>
  </si>
  <si>
    <t>INSTRUCCIONES DE LA EVIDENCIA</t>
  </si>
  <si>
    <r>
      <t xml:space="preserve">1. Lea atentamente el </t>
    </r>
    <r>
      <rPr>
        <b/>
        <u/>
        <sz val="11"/>
        <color rgb="FFFF0000"/>
        <rFont val="Aptos Narrow"/>
        <family val="2"/>
        <scheme val="minor"/>
      </rPr>
      <t>GLOSARIO DE TERMINOS</t>
    </r>
    <r>
      <rPr>
        <sz val="11"/>
        <color theme="1"/>
        <rFont val="Aptos Narrow"/>
        <family val="2"/>
        <scheme val="minor"/>
      </rPr>
      <t xml:space="preserve"> para realizar esta evidencia y comprender la temática de la actividad de aprendizaje propuesta.</t>
    </r>
  </si>
  <si>
    <t>2. Para el taller propuesto usted realizará las siguientes acciones:</t>
  </si>
  <si>
    <t>a.</t>
  </si>
  <si>
    <t>Siga atentamente las indicaciones del instructor.</t>
  </si>
  <si>
    <t xml:space="preserve">b. </t>
  </si>
  <si>
    <t>Construya el presupuesto de ventas, en el cual identifique precios de venta unitarios, la cantidad de unidades vendidas, los costos fijos y variables. Así mismo, defina el margen de contribución por producto y la venta total.</t>
  </si>
  <si>
    <t>c.</t>
  </si>
  <si>
    <t>Elabore el presupuesto de personal, plantee la cantidad de personal que lo apoyará en el emprendimiento, los salarios devengados de forma individual, el cálculo de las prestaciones sociales por cada colaborador, y una consolidación general.</t>
  </si>
  <si>
    <t>d.</t>
  </si>
  <si>
    <r>
      <t xml:space="preserve">Estime los activos fijos necesarios para la puesta en marcha del emprendimiento </t>
    </r>
    <r>
      <rPr>
        <sz val="11"/>
        <color rgb="FFFF0000"/>
        <rFont val="Aptos Narrow"/>
        <family val="2"/>
        <scheme val="minor"/>
      </rPr>
      <t>(Arranque del negocio)</t>
    </r>
  </si>
  <si>
    <t>e.</t>
  </si>
  <si>
    <t>Defina el capital inicial que usted como emprendedor requiere para el inicio de actividades, si este capital se obtiene por capital propio o de inversionistas externos, fuentes de financiamiento.</t>
  </si>
  <si>
    <t xml:space="preserve">f. </t>
  </si>
  <si>
    <t>Con la información recolectada en los puntos anteriores proceda a elaborar:  el Flujo de Caja, Estado Financiero (P&amp;G), Punto de equilibrio en ventas del Estado de Resultados y el balance inicial del emprendimiento.</t>
  </si>
  <si>
    <t>GLOSARIO DE TERMINOS DE ESTA EVIDENCIA</t>
  </si>
  <si>
    <r>
      <t xml:space="preserve">Plan de Negocio </t>
    </r>
    <r>
      <rPr>
        <b/>
        <sz val="12"/>
        <color rgb="FFFF0000"/>
        <rFont val="Aptos Narrow"/>
        <family val="2"/>
        <scheme val="minor"/>
      </rPr>
      <t>(Modelo Financiero)</t>
    </r>
  </si>
  <si>
    <t>Documento detallado que cuantifica en unidades, precios, costos, los objetivos de un emprendimiento. No solo guía a los emprendedores en la toma de decisiones, sino que también es vital para atraer inversores y asegurar financiamiento. Busca a través de su proyección, identificar la rentabilidad de un negocio, utilidades, beneficios y establece una “Hoja de Ruta” para convertir una idea de negocios en un plan estructurado que se propone se haga realidad en un futuro.</t>
  </si>
  <si>
    <t>Producto:</t>
  </si>
  <si>
    <t>Un producto es todo aquello que está a disposición, es decir, en el mercado, para que cualquier usuario lo adquiera con la finalidad de satisfacer una necesidad un deseo. Son Tangibles, es decir se pueden tocar, ver, degustar.</t>
  </si>
  <si>
    <t xml:space="preserve">Servicio: </t>
  </si>
  <si>
    <t>Prestación que satisface alguna necesidad humana y que no consiste en la producción de bienes materiales. Un servicio es una prestación, un activo de naturaleza económica pero que no tiene presencia física propia (es intangible), a diferencia de los productos que si la tienen.</t>
  </si>
  <si>
    <t>Costo de Producción:</t>
  </si>
  <si>
    <r>
      <t xml:space="preserve">Los costos de producción son todos salidas de dinero, necesarios para fabricar un producto o prestar un servicio, desde el costo de las materias primas hasta el costo de la mano de obra. Se dividen en </t>
    </r>
    <r>
      <rPr>
        <b/>
        <sz val="11"/>
        <color rgb="FFFF0000"/>
        <rFont val="Aptos Narrow"/>
        <family val="2"/>
        <scheme val="minor"/>
      </rPr>
      <t>fijos y variables</t>
    </r>
    <r>
      <rPr>
        <sz val="11"/>
        <color theme="1"/>
        <rFont val="Aptos Narrow"/>
        <family val="2"/>
        <scheme val="minor"/>
      </rPr>
      <t>.</t>
    </r>
  </si>
  <si>
    <t>Costos Variables:</t>
  </si>
  <si>
    <t>Los costos variables son aquellos costos que pueden variar dependiendo de la cantidad de bienes o servicios que una empresa produce. Esto significa que, cuanto mayor sea el volumen de producción, mayor será el valor de los costos variables. Los costos variables se modifican según la cantidad de unidades producidas. Estos usualmente son Costos de Materia prima, Insumos, o Costos de Adquisición de inventarios (cuando lo que se pretende vender lo vende como producto terminado un proveedor. Su frecuencia es irregular, pues dependen del volumen de producción propuesto.</t>
  </si>
  <si>
    <t>Costos Fijos:</t>
  </si>
  <si>
    <t>Son los que se deben pagar de manera fija en un periodo de tiempo, en la producción de un producto o servicio. No dependen del volumen de producción, ni de sus ganancies, pues su frecuencia es regular (ejemplo; diaria, mensual, semanal) y se causan así la empresa no este produciendo en ese momento del tiempo. Algunos ejemplos podrian ser Arriendo, Mano de Obra, Seguros o Pólizas contra todo riesgo, o los servicios públicos que intervienen de manera DIRECTA en el proceso de Producción.</t>
  </si>
  <si>
    <t>Costo Unitario de Producto o Servicio:</t>
  </si>
  <si>
    <t>Se conoce el costo unitario de UN (1)  producto o servicio como aquel valor que cuesta producirlo y/o comercializarlo, almacenarlo y venderlo</t>
  </si>
  <si>
    <t>Periodo:</t>
  </si>
  <si>
    <t>Unidad de medida que se mide en factor tiempo (diario, semanal, quincenal, mensual anual)</t>
  </si>
  <si>
    <t xml:space="preserve">Gastos: </t>
  </si>
  <si>
    <r>
      <t xml:space="preserve">Son los recursos económicos destinados a pagar actividades de </t>
    </r>
    <r>
      <rPr>
        <b/>
        <sz val="11"/>
        <color rgb="FFFF0000"/>
        <rFont val="Aptos Narrow"/>
        <family val="2"/>
        <scheme val="minor"/>
      </rPr>
      <t>Administración y Ventas</t>
    </r>
    <r>
      <rPr>
        <sz val="11"/>
        <color theme="1"/>
        <rFont val="Aptos Narrow"/>
        <family val="2"/>
        <scheme val="minor"/>
      </rPr>
      <t xml:space="preserve">. Son todos los desembolsos o pagos que hace la empresa para producir el producto o servicio, pero que no están directamente vinculados con el proceso de fabricación. Los GASTOS están vinculados con la parte administrativa y de ventas, son indispensables para mantener la parte operativa de la empresa y </t>
    </r>
    <r>
      <rPr>
        <b/>
        <sz val="11"/>
        <color rgb="FFFF0000"/>
        <rFont val="Aptos Narrow"/>
        <family val="2"/>
        <scheme val="minor"/>
      </rPr>
      <t>NO</t>
    </r>
    <r>
      <rPr>
        <sz val="11"/>
        <color theme="1"/>
        <rFont val="Aptos Narrow"/>
        <family val="2"/>
        <scheme val="minor"/>
      </rPr>
      <t xml:space="preserve"> genera un retorno de dinero. Los gastos se causan en  la empresa, se estén realizando ventas o no. Hace parte del Presupuesto de gastos.</t>
    </r>
  </si>
  <si>
    <t>Gastos de Administración:</t>
  </si>
  <si>
    <t>Los gastos de administración son aquellos que están asociados con la gestión y el mantenimiento de una empresa u organización. En otras palabras, son los gastos relacionados con la administración de recursos humanos, contabilidad, servicios legales, gestión de proveedores, tecnología de la información, entre otros.</t>
  </si>
  <si>
    <t>Gastos de Ventas:</t>
  </si>
  <si>
    <t>Son aquellos recursos que se derivan directamente de la comercialización y venta de los productos o servicios de una empresa, es decir todos aquellos recursos requeridos para la distribución, entrega y promoción de los productos y/o servicios de la empresa. Algunos ejemplos podrían ser publicidad y/o marketing.</t>
  </si>
  <si>
    <t>Precio de Venta:</t>
  </si>
  <si>
    <t>El precio de venta es el valor en dinero que se les cobrará a los clientes por un producto o servicio. En otras palabras, el precio de venta es el valor por el que se venden los productos o servicios de una empresa o negocio.</t>
  </si>
  <si>
    <t>Margen de Ganancia:</t>
  </si>
  <si>
    <t>Se refiere a las ganancias en dinero obtenidas a través de la venta de un producto o servicio, una vez descontado el costo total de producción. Tambien se puede definir como un porcentaje que el emprendedor espera obtener por cada producto o servicio, descontados los costos totales.</t>
  </si>
  <si>
    <t>Estrategia de fijación de precios:</t>
  </si>
  <si>
    <t>La fijación de precios determina la remuneración económica que recibirá la empresa por el producto o servicio ofrecido. La base inicial del precio de venta son los costos de producción y de distribución. Es importante tener en cuenta otros factores como: Las empresas competidoras, las condiciones del mercado, los costos, la demanda del producto en el mercado, los precios de otros productos similares o iguales. Indicará si la empresa será rentable en el corto plazo.</t>
  </si>
  <si>
    <t>Presupuesto:</t>
  </si>
  <si>
    <t>Un presupuesto es un plan de las operaciones y recursos de una empresa, que se formula para lograr en un cierto periodo los objetivos propuestos y se expresa en términos monetarios. Se manifiestan en las diferentes proyecciones de Ventas, Costos, Gastos, Inversiones que se esperan lograr en un plan de negocio de un emprendimiento.</t>
  </si>
  <si>
    <t>Proyección de Ventas:</t>
  </si>
  <si>
    <t>Es el cálculo aproximado de ventas e ingresos que una empresa debe generar en un determinado período de tiempo (mensual, trimestral, semestral o anual). Hace parte del Presupuesto de ventas.</t>
  </si>
  <si>
    <t>Proyección de Costos:</t>
  </si>
  <si>
    <t>La proyección de costos es un proceso que ayuda a las organizaciones a comprender y gestionar los costos de productos o servicios futuros. El objetivo de la proyección de costos es tomar decisiones informadas sobre si emprender un proyecto en particular o ajustar el alcance de un proyecto actual. Hace parte del Presupuesto de costos</t>
  </si>
  <si>
    <t>Ganancia:</t>
  </si>
  <si>
    <t xml:space="preserve">La ganancia se define simplemente como un beneficio financiero; es la diferencia entre el dinero ganado y el dinero gastado. Una ganancia muestra que una empresa se encuentra en un buen estado financiero. Las ganancias pertenecen a los propietarios de la empresa. </t>
  </si>
  <si>
    <t>Pérdida:</t>
  </si>
  <si>
    <t>Son el registro de situaciones contables o financieras con resultados negativos en un periodo determinado. Éstos se verán registrados cuando los gastos sean superiores a los ingresos de un negocio.</t>
  </si>
  <si>
    <t xml:space="preserve">Estado de Resultados: </t>
  </si>
  <si>
    <t>En contabilidad, el estado de resultados, estado de rendimiento económico o estado de pérdidas y ganancias, es un estado financiero que muestra ordenada y detalladamente la forma de cómo se obtuvo el resultado del ejercicio durante un periodo determinado.</t>
  </si>
  <si>
    <t>Ventas totales:</t>
  </si>
  <si>
    <t>Total de todos los ingresos por ventas sumados, que reflejan la totalidad de los ingresos por ventas que una empresa o persona realiza en un determinado periodo de tiempo.</t>
  </si>
  <si>
    <t>Costos Totales:</t>
  </si>
  <si>
    <t>Suma de los costos fijos y los costos variables de un periodo determinado</t>
  </si>
  <si>
    <t>Utilidad Bruta:</t>
  </si>
  <si>
    <t>Ganancia que se obtiene de la venta de un producto, luego de restarle los costosfijos y variables a su producción en un periodo determinado</t>
  </si>
  <si>
    <t>Gastos Totales:</t>
  </si>
  <si>
    <t>Sumatoria de todos los gastos administrativos y de ventas en un periodo determinado, que se exponen en un estado de resultados para hallar rentabilidad del negocio.</t>
  </si>
  <si>
    <t>Utilidad Operativa:</t>
  </si>
  <si>
    <t>Mide la utilidad que genera una empresa o un negocio en un periodo de tiempo determinado. No se toman en consideración los impuestos, gastos financieros u otro tipo de gasto contable que no implique una salida de dinero real de la organización. Esta se calcula con la resta de la utilidad bruta y los gastos de operación.</t>
  </si>
  <si>
    <t>Punto de Equilibrio (En un Estado de resultados)</t>
  </si>
  <si>
    <t>es el punto cero (0), en donde no se presentan Pérdidas, pero tampoco Ganancias. Se Proyecta y estima para identificar financieramente el momento en el cual se cubren en su totalidad los Costos de Producción, los Gastos (Administrativos y de Ventas). Se usa para establecer metas de venta en pesos minimas a cumplir para a partir de ese punto presupuestar Ganancias.</t>
  </si>
  <si>
    <t>Diligencie únicamente las celdas en color AMARILLO</t>
  </si>
  <si>
    <t>Nombre del Plan de negocio</t>
  </si>
  <si>
    <t>Fecha de formulación del Plan de Negocio</t>
  </si>
  <si>
    <t>Nombres Y Apellidos</t>
  </si>
  <si>
    <t>Tipo de ID</t>
  </si>
  <si>
    <t>Numero de Id</t>
  </si>
  <si>
    <t>Teléfono de contacto</t>
  </si>
  <si>
    <t>Correo Electrónico</t>
  </si>
  <si>
    <t>Formación Titulada:</t>
  </si>
  <si>
    <t>Número de Ficha:</t>
  </si>
  <si>
    <t>Jornada</t>
  </si>
  <si>
    <t>Esta Hoja de Trabajo tiene los siguientes objetivos:</t>
  </si>
  <si>
    <t>1. Familiarizar al usuario Emprendedor, con los componentes básicos de un Plan de Negocio (modelo financiero)</t>
  </si>
  <si>
    <t>2. Permitir al usuario Emprendedor determinar si su Emprendimiento será rentable.</t>
  </si>
  <si>
    <t>Notas de la versión:</t>
  </si>
  <si>
    <t>1. Se incluyó en la hoja Ventas en Unid Mes, casilla Vtas Diarias, para permitir identificar cuantas unidades de un producto o servicio se venderían en un (1) día en el negocio.</t>
  </si>
  <si>
    <t>2. En la hoja de Arranque del negocio, se desagregó "Efectivo" de la tabla Inversiones Diferidas (Gastos Anticipados).</t>
  </si>
  <si>
    <t>3. Se incluyó un análisis de punto de equilibrio en Ventas en hoja aparte</t>
  </si>
  <si>
    <r>
      <t xml:space="preserve">4. Se actualizó la Hoja Flujo de Caja, para permitir al Emprendedor establecer la Tasa (%) </t>
    </r>
    <r>
      <rPr>
        <b/>
        <u/>
        <sz val="11"/>
        <color theme="8"/>
        <rFont val="Aptos Narrow"/>
        <family val="2"/>
        <scheme val="minor"/>
      </rPr>
      <t>MINIMA</t>
    </r>
    <r>
      <rPr>
        <sz val="11"/>
        <rFont val="Aptos Narrow"/>
        <family val="2"/>
        <scheme val="minor"/>
      </rPr>
      <t xml:space="preserve"> de oportunidad del Emprendimiento</t>
    </r>
  </si>
  <si>
    <t>5. Se automatizó la hoja "Ventas Unidades Mes" para facilitar el cálculo de proyección de unidades para los años 2, 3, 4 y 5.</t>
  </si>
  <si>
    <t>6. Se incluyó analisis unitario de Precio de Venta Unitario versus Precio de Costo unitario en hoja "Costos Unit"</t>
  </si>
  <si>
    <t>7. Se ajustó el componente de Depreciación de Activos fijos</t>
  </si>
  <si>
    <t>8. Se incluye analisis del mercado para identificar ventajas competitivas, precio promedio de venta en el mercado y analisis de proveedores</t>
  </si>
  <si>
    <r>
      <rPr>
        <sz val="10"/>
        <rFont val="Verdana"/>
        <family val="2"/>
      </rPr>
      <t>CC</t>
    </r>
  </si>
  <si>
    <r>
      <rPr>
        <sz val="10"/>
        <rFont val="Verdana"/>
        <family val="2"/>
      </rPr>
      <t>CEDULA DE CIUDADANIA</t>
    </r>
  </si>
  <si>
    <r>
      <rPr>
        <sz val="10"/>
        <rFont val="Verdana"/>
        <family val="2"/>
      </rPr>
      <t>CE</t>
    </r>
  </si>
  <si>
    <r>
      <rPr>
        <sz val="10"/>
        <rFont val="Verdana"/>
        <family val="2"/>
      </rPr>
      <t>CEDULA DE EXTRANJERIA</t>
    </r>
  </si>
  <si>
    <r>
      <rPr>
        <sz val="10"/>
        <rFont val="Verdana"/>
        <family val="2"/>
      </rPr>
      <t>TI</t>
    </r>
  </si>
  <si>
    <r>
      <rPr>
        <sz val="10"/>
        <rFont val="Verdana"/>
        <family val="2"/>
      </rPr>
      <t>TARJETA DE IDENTIDAD</t>
    </r>
  </si>
  <si>
    <t>PPT</t>
  </si>
  <si>
    <t>PERMISO DE PROTECCION TEMPORAL</t>
  </si>
  <si>
    <t xml:space="preserve"> -- </t>
  </si>
  <si>
    <t xml:space="preserve"> Precio de Venta  </t>
  </si>
  <si>
    <t xml:space="preserve">Mañana </t>
  </si>
  <si>
    <t>Tarde</t>
  </si>
  <si>
    <t>Noche</t>
  </si>
  <si>
    <t>Virtual</t>
  </si>
  <si>
    <t>CALCULADORA DE CREDITO PARA INVERSIÓN EN EMPRENDIMIENTO</t>
  </si>
  <si>
    <t>Ingrese el número de meses en que se abonará a la deuda crédito con la fuente de financiación</t>
  </si>
  <si>
    <t>TABLA DE AMORTIZACION  CUOTA FIJA (1)</t>
  </si>
  <si>
    <t>TASA DE INTERES ANUAL (%)</t>
  </si>
  <si>
    <t>MONTO DEL CREDITO ($)</t>
  </si>
  <si>
    <t>PLAZO DEL CRÉDITO (MESES)</t>
  </si>
  <si>
    <t>PERIODO DE GRACIA (MESES)</t>
  </si>
  <si>
    <t>VALOR DE LA CUOTA MENSUAL</t>
  </si>
  <si>
    <t>PERIODOS</t>
  </si>
  <si>
    <t>ABONO A CAPITAL</t>
  </si>
  <si>
    <t>INTERESES</t>
  </si>
  <si>
    <t>SALDO</t>
  </si>
  <si>
    <t>CUOTA FIJA MENSUAL</t>
  </si>
  <si>
    <t>TABLA DE AMORTIZACION  CUOTA VARIABLE (2)</t>
  </si>
  <si>
    <t>INVERSION INICIAL</t>
  </si>
  <si>
    <t>CAPITAL DE TRABAJO</t>
  </si>
  <si>
    <t>TOTAL</t>
  </si>
  <si>
    <t>CUOTA VARIABLE MENSUAL</t>
  </si>
  <si>
    <r>
      <t xml:space="preserve">6.1.1 Contratos Prestación Servicios </t>
    </r>
    <r>
      <rPr>
        <b/>
        <sz val="10"/>
        <color rgb="FFFF0000"/>
        <rFont val="Arial"/>
        <family val="2"/>
      </rPr>
      <t>PRODUCCIÓN</t>
    </r>
  </si>
  <si>
    <r>
      <t xml:space="preserve">6.1.2  Contratos Prestación Servicios </t>
    </r>
    <r>
      <rPr>
        <b/>
        <sz val="10"/>
        <color rgb="FFFF0000"/>
        <rFont val="Arial"/>
        <family val="2"/>
      </rPr>
      <t>ADMINISTRACIÓN</t>
    </r>
  </si>
  <si>
    <r>
      <t xml:space="preserve">6.1.3  Contratos Prestación Servicios </t>
    </r>
    <r>
      <rPr>
        <b/>
        <sz val="10"/>
        <color rgb="FFFF0000"/>
        <rFont val="Arial"/>
        <family val="2"/>
      </rPr>
      <t>VENTAS</t>
    </r>
  </si>
  <si>
    <t>Flujo de Caja Proyectado</t>
  </si>
  <si>
    <t>Ingresos</t>
  </si>
  <si>
    <t>Total Ingresos</t>
  </si>
  <si>
    <t>Egresos</t>
  </si>
  <si>
    <t>Gastos Administrativos</t>
  </si>
  <si>
    <t>Gastos de Ventas</t>
  </si>
  <si>
    <t>Total Egresos</t>
  </si>
  <si>
    <t>Flujo de Caja Económico</t>
  </si>
  <si>
    <t>Financiamiento</t>
  </si>
  <si>
    <t>Recursos solicitados a la Fuente de Financiación</t>
  </si>
  <si>
    <t>Saldo Crédito</t>
  </si>
  <si>
    <t>Servicio Pago a la Deuda (cuota crédito anual)</t>
  </si>
  <si>
    <t>Flujo de Caja Financiero</t>
  </si>
  <si>
    <t xml:space="preserve">Tasa de oportunidad del Emprendimiento </t>
  </si>
  <si>
    <r>
      <t xml:space="preserve">Es tasa (%)  de retorno </t>
    </r>
    <r>
      <rPr>
        <b/>
        <u val="singleAccounting"/>
        <sz val="11"/>
        <color theme="8"/>
        <rFont val="Aptos Narrow"/>
        <family val="2"/>
        <scheme val="minor"/>
      </rPr>
      <t>mínima</t>
    </r>
    <r>
      <rPr>
        <sz val="11"/>
        <color theme="8"/>
        <rFont val="Aptos Narrow"/>
        <family val="2"/>
        <scheme val="minor"/>
      </rPr>
      <t xml:space="preserve"> </t>
    </r>
    <r>
      <rPr>
        <sz val="11"/>
        <color theme="1"/>
        <rFont val="Aptos Narrow"/>
        <family val="2"/>
        <scheme val="minor"/>
      </rPr>
      <t>prevista si un inversionista elige aceptar una cantidad de dinero en el futuro</t>
    </r>
  </si>
  <si>
    <t>Valor Presente Neto (VAN):</t>
  </si>
  <si>
    <t>El valor presente neto , es un método que permite determinar el valor actual de los flujos de caja futuros estimados o proyectados en una inversión.</t>
  </si>
  <si>
    <t>Tasa Interna de Retorno</t>
  </si>
  <si>
    <t>La tasa interna de retorno (TIR) es la tasa de interés o rentabilidad que ofrece una inversión. Es decir, es el porcentaje de beneficio o pérdida que tendrá una inversión para las cantidades que no se han retirado del proyecto.</t>
  </si>
  <si>
    <t>Periodo de recuperacion de la inversión</t>
  </si>
  <si>
    <t>Usted recuperará su inversión en aproximadamente:</t>
  </si>
  <si>
    <t>Costos de Producción Variables</t>
  </si>
  <si>
    <t>Costos de Producción Fijos</t>
  </si>
  <si>
    <t>Gastos anticipados de Puesta en Marcha</t>
  </si>
  <si>
    <t>Año 1</t>
  </si>
  <si>
    <t>Año 2</t>
  </si>
  <si>
    <t>Año 3</t>
  </si>
  <si>
    <t>Año 4</t>
  </si>
  <si>
    <t>Año 5</t>
  </si>
  <si>
    <t>11. Estado de Resultados (Perdida o ganancia)</t>
  </si>
  <si>
    <t>ESTADO DE RESULTADOS</t>
  </si>
  <si>
    <t>Devoluciones y rebajas en ventas</t>
  </si>
  <si>
    <t>Materia Prima, Mano de Obra</t>
  </si>
  <si>
    <t>Depreciación</t>
  </si>
  <si>
    <t>Otros Costos</t>
  </si>
  <si>
    <t>Utilidad Bruta</t>
  </si>
  <si>
    <t>Gasto de Ventas</t>
  </si>
  <si>
    <t>Gastos de Administracion</t>
  </si>
  <si>
    <t>Utilidad Operativa</t>
  </si>
  <si>
    <t>Utilidad antes de impuestos</t>
  </si>
  <si>
    <t>Impuestos (33%)</t>
  </si>
  <si>
    <t>Utilidad Neta Final</t>
  </si>
  <si>
    <t xml:space="preserve">ESTADO DE RESULTADOS </t>
  </si>
  <si>
    <t>Mensual aprox</t>
  </si>
  <si>
    <t>Materia prima año 1</t>
  </si>
  <si>
    <t>Mano de obra año 1</t>
  </si>
  <si>
    <t>costos fijos año 1</t>
  </si>
  <si>
    <t>GASTOS ADMIN AÑO 1</t>
  </si>
  <si>
    <t>GASTOS VENTAS AÑO 1</t>
  </si>
  <si>
    <t>Siga los siguientes pasos:</t>
  </si>
  <si>
    <t>1. Vaya a la sección de esta Hoja de Excel y marque en "DATOS", escoja la opción Análisis de Hipótesis como se ve en la imagen</t>
  </si>
  <si>
    <t>2. De clic en "Buscar Objetivo"</t>
  </si>
  <si>
    <t>4. Defina valor cero (0) para saber el punto de No ganancia no pérdida:</t>
  </si>
  <si>
    <t>5. Seleccione la celda "Ventas" (Celda B4, en color amarillo) para saber cual es lo minimo que se debe vender para alcanzar el Punto de Equilibrio</t>
  </si>
  <si>
    <t>6. De clic en aceptar.</t>
  </si>
  <si>
    <t>Ventas Proyectadas Año 1:</t>
  </si>
  <si>
    <t>Ventas necesarias a realizar para llegar a Punto de Equilibrio en Ventas:</t>
  </si>
  <si>
    <t>Se deben realizar al menos el % de las ventas proyectadas para llegar a Punto de Equilibrio</t>
  </si>
  <si>
    <t>P.E Mensual</t>
  </si>
  <si>
    <t>BALANCE GENERAL</t>
  </si>
  <si>
    <t>Balance Inicial</t>
  </si>
  <si>
    <t>Activo Corriente</t>
  </si>
  <si>
    <t>Total Activo Corriente</t>
  </si>
  <si>
    <t>Activos no Corrientes</t>
  </si>
  <si>
    <t>Total Activos No Corrientes</t>
  </si>
  <si>
    <t>TOTAL ACTIVOS</t>
  </si>
  <si>
    <t>Pasivo Corriente</t>
  </si>
  <si>
    <t xml:space="preserve">Pasivo No Corriente (Servicio a la Deuda) </t>
  </si>
  <si>
    <t>Recursos a solicitar a fuente de financiación</t>
  </si>
  <si>
    <t>TOTAL PASIVOS</t>
  </si>
  <si>
    <t>Patrimonio</t>
  </si>
  <si>
    <t>TOTAL PASIVO + PATRIMONIO</t>
  </si>
  <si>
    <t>Contratos de Prestacion de servicios Producción</t>
  </si>
  <si>
    <t>total produccion</t>
  </si>
  <si>
    <t>total admin</t>
  </si>
  <si>
    <t>total ventas</t>
  </si>
  <si>
    <t xml:space="preserve">RESUMEN EJECUTIVO - PLAN DE NEGOCIO   </t>
  </si>
  <si>
    <r>
      <t xml:space="preserve">Recursos a solicitar a </t>
    </r>
    <r>
      <rPr>
        <b/>
        <i/>
        <sz val="8"/>
        <color theme="0"/>
        <rFont val="Arial"/>
        <family val="2"/>
      </rPr>
      <t>Fuente de Financiación</t>
    </r>
  </si>
  <si>
    <t>Computador Gerente</t>
  </si>
  <si>
    <t>Impresora todo en uno scanner tonner</t>
  </si>
  <si>
    <t>Aire acondicionado</t>
  </si>
  <si>
    <t>Sillas gerenciales</t>
  </si>
  <si>
    <t xml:space="preserve">Archivador </t>
  </si>
  <si>
    <t>Escritorio Gerente</t>
  </si>
  <si>
    <t>Servicio de Internet y Datos Celular Negocio</t>
  </si>
  <si>
    <t>Otros Gastos Anticipados No Discriminados</t>
  </si>
  <si>
    <t>2. Describa el nombre de los productos a vender en su Plan de Negocio, así como el precio de venta. Escoja cinco (5)</t>
  </si>
  <si>
    <t>Muebles</t>
  </si>
  <si>
    <t>Nro ID</t>
  </si>
  <si>
    <r>
      <t xml:space="preserve">Emprendedor(a) </t>
    </r>
    <r>
      <rPr>
        <sz val="10"/>
        <color rgb="FFFF0000"/>
        <rFont val="Arial"/>
        <family val="2"/>
      </rPr>
      <t>(Usted)</t>
    </r>
  </si>
  <si>
    <t xml:space="preserve">Facturación Electrónica DIAN </t>
  </si>
  <si>
    <t>Proyección de Ventas en Pesos</t>
  </si>
  <si>
    <r>
      <t xml:space="preserve">Costos Fijos </t>
    </r>
    <r>
      <rPr>
        <sz val="10"/>
        <color rgb="FFFF0000"/>
        <rFont val="Arial"/>
        <family val="2"/>
      </rPr>
      <t>(Hoja 7)</t>
    </r>
  </si>
  <si>
    <t>Mano de Obra Directa (Hoja 6)</t>
  </si>
  <si>
    <t>Materia Prima e Insumos (Hoja 4)</t>
  </si>
  <si>
    <r>
      <t xml:space="preserve">Ventas </t>
    </r>
    <r>
      <rPr>
        <b/>
        <sz val="10"/>
        <rFont val="Arial"/>
        <family val="2"/>
      </rPr>
      <t>(Hoja 2)</t>
    </r>
  </si>
  <si>
    <t>Saldo Inicial (Inversiones + Efectivo)</t>
  </si>
  <si>
    <t>3. Defina las celdas B14 "Utilidad antes de Impuestos" como dato a hallar para conocer Punto de Equilibrio en Ventas:</t>
  </si>
  <si>
    <t>TOTAL X RUBRO</t>
  </si>
  <si>
    <t>MESES TOTALES</t>
  </si>
  <si>
    <t>PREOPERATIVOS</t>
  </si>
  <si>
    <t>OPERATIVOS</t>
  </si>
  <si>
    <t>Modelo de Plan de Negocio de uso pedagógico Versión 2.3 FEBRERO 2025</t>
  </si>
  <si>
    <t xml:space="preserve">  HERRAMIENTA PEDAGÓGICA "SIMULACION PLAN DE NEGOCIO" CREADA PARA FORMACION EN EMPRENDIMIENTO DESARROLLADA POR: INSTRUCTOR ALEJANDRO DIAZ VIGENCIA 2026 V2.3 FEBRERO 2026</t>
  </si>
  <si>
    <r>
      <t xml:space="preserve">Modelo de Plan de Negocio de uso pedagógico </t>
    </r>
    <r>
      <rPr>
        <b/>
        <sz val="14"/>
        <color rgb="FFFF0000"/>
        <rFont val="Arial"/>
        <family val="2"/>
      </rPr>
      <t>Versión 2.3 2026</t>
    </r>
  </si>
  <si>
    <t>sssss -- aaaaa --  --  -- Formación Titulada: --  -- Número de Ficha: --  --   HERRAMIENTA PEDAGÓGICA "SIMULACION PLAN DE NEGOCIO" CREADA PARA FORMACION EN EMPRENDIMIENTO DESARROLLADA POR: INSTRUCTOR ALEJANDRO DIAZ VIGENCIA 2026 V2.3 FEBRERO 2026</t>
  </si>
  <si>
    <t>Tipo de Documento</t>
  </si>
  <si>
    <t>Número de Documento</t>
  </si>
  <si>
    <t>Nombres y Apellidos</t>
  </si>
  <si>
    <t>CC</t>
  </si>
  <si>
    <t>1075234493</t>
  </si>
  <si>
    <t>ALVARO ANDRES PAPAMIJA CHALA</t>
  </si>
  <si>
    <t>TI</t>
  </si>
  <si>
    <t>1075247282</t>
  </si>
  <si>
    <t>ANYELY VALERIA CASTELLANOS BAUTISTA</t>
  </si>
  <si>
    <t>1029882989</t>
  </si>
  <si>
    <t>CARLOS ANDRES RICO SANABRIA</t>
  </si>
  <si>
    <t>1075799115</t>
  </si>
  <si>
    <t>CRISTIAN LIBARDO VARGAS OSORIO</t>
  </si>
  <si>
    <t>1109844269</t>
  </si>
  <si>
    <t>DIANA KATERINE PEREZ GUALY</t>
  </si>
  <si>
    <t>1075245887</t>
  </si>
  <si>
    <t>EMANUEL CONDE OCAMPO</t>
  </si>
  <si>
    <t>1031819225</t>
  </si>
  <si>
    <t>EMILIN TATIANA VARGAS MANCHOLA</t>
  </si>
  <si>
    <t>1075795667</t>
  </si>
  <si>
    <t>FAYBER ESTYBEN DIAZ TIERRADENTRO</t>
  </si>
  <si>
    <t>1019996835</t>
  </si>
  <si>
    <t xml:space="preserve">GABRIELA VALENTINA RAMIREZ </t>
  </si>
  <si>
    <t>1077231183</t>
  </si>
  <si>
    <t>HERNANN THOMAS MANCHOLA BOCANEGRA</t>
  </si>
  <si>
    <t>1079177309</t>
  </si>
  <si>
    <t>JEFFERSON ANDRES VALDERRAMA MURCIA</t>
  </si>
  <si>
    <t>1079177457</t>
  </si>
  <si>
    <t>JUAN DAVID PARADA VARGAS</t>
  </si>
  <si>
    <t>1075797137</t>
  </si>
  <si>
    <t>JUAN FERNANDO BAHAMON RAMIREZ</t>
  </si>
  <si>
    <t>1173463010</t>
  </si>
  <si>
    <t xml:space="preserve">JULIAN ANDRES GARZON SILVA </t>
  </si>
  <si>
    <t>1105469704</t>
  </si>
  <si>
    <t>LUIGER DALIETH LEDEZMA ASPRILLA</t>
  </si>
  <si>
    <t>1068216659</t>
  </si>
  <si>
    <t>LUIS YAMIT TOMBE CABRERA</t>
  </si>
  <si>
    <t>1138274839</t>
  </si>
  <si>
    <t>LUZ ELIANA SANCHEZ TOVAR</t>
  </si>
  <si>
    <t>1075541528</t>
  </si>
  <si>
    <t xml:space="preserve">MARIA JOSE CONDE DUSSAN </t>
  </si>
  <si>
    <t>1029883593</t>
  </si>
  <si>
    <t>MARTIN ANDRES ANDRADE ROYET</t>
  </si>
  <si>
    <t>1075250453</t>
  </si>
  <si>
    <t>MAURICIO MEDINA CAMACHO</t>
  </si>
  <si>
    <t>1077726017</t>
  </si>
  <si>
    <t>PAULA VALENTINA VARGAS ANDRADE</t>
  </si>
  <si>
    <t>1075796728</t>
  </si>
  <si>
    <t>RONALD ANDRES OLAYA LOZADA</t>
  </si>
  <si>
    <t>1083880765</t>
  </si>
  <si>
    <t>SANTIAGO MUÑOZ SALAZAR</t>
  </si>
  <si>
    <t>1075796516</t>
  </si>
  <si>
    <t>SONIA ALEXANDRA SOLORZANO RAMOS</t>
  </si>
  <si>
    <t>1077227636</t>
  </si>
  <si>
    <t>WILLIAM JIMENEZ VELEZ</t>
  </si>
  <si>
    <t>JOHAN SEBASTIAN YUCUMA</t>
  </si>
  <si>
    <t>ANALISIS Y DESARROLLO DE SOFTWARE</t>
  </si>
  <si>
    <t>luugerdalieth@gmail.com</t>
  </si>
  <si>
    <t>diazfayber27@gmail.com</t>
  </si>
  <si>
    <t>CompuTech</t>
  </si>
  <si>
    <t xml:space="preserve">Kit de herramientas profesionales </t>
  </si>
  <si>
    <t>Cautin Sugon T28</t>
  </si>
  <si>
    <t>Alcohol Isopropilico</t>
  </si>
  <si>
    <t>Servicio tecnico</t>
  </si>
  <si>
    <t>Camaras de seguridad</t>
  </si>
  <si>
    <t>Lockers</t>
  </si>
  <si>
    <t>Caja registradora</t>
  </si>
  <si>
    <t>Estantes de excibicion</t>
  </si>
  <si>
    <t>Escoba, trapero (equipos de aseo)</t>
  </si>
  <si>
    <t>Neiva</t>
  </si>
  <si>
    <t>Solutek</t>
  </si>
  <si>
    <t>Systcom</t>
  </si>
  <si>
    <t>Memoria RAM (DDR5 2x16gb)</t>
  </si>
  <si>
    <t>Tarjeta grafica (4060)</t>
  </si>
  <si>
    <t>Memoria USB (64gb)</t>
  </si>
  <si>
    <t>Precio proveedor</t>
  </si>
  <si>
    <t>Disco SSD (500gb)</t>
  </si>
  <si>
    <t>Precio Proveedor</t>
  </si>
  <si>
    <t>Redycom</t>
  </si>
  <si>
    <t>Tecnico en soporte y ensamble</t>
  </si>
  <si>
    <t>Asesor Comercial y Ventas</t>
  </si>
  <si>
    <t>Diseñador grafico</t>
  </si>
  <si>
    <t>Tecnico de soporte</t>
  </si>
  <si>
    <t>Tecnico de mantenimiento correctivo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</si>
</sst>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 #,##0.00_-;_-* &quot;-&quot;??_-;_-@_-"/>
    <numFmt numFmtId="164" formatCode="&quot;$&quot;\ #,##0;[Red]\-&quot;$&quot;\ #,##0"/>
    <numFmt numFmtId="165" formatCode="_-&quot;$&quot;\ * #,##0.00_-;\-&quot;$&quot;\ * #,##0.00_-;_-&quot;$&quot;\ * &quot;-&quot;??_-;_-@_-"/>
    <numFmt numFmtId="166" formatCode="&quot;Año &quot;#,##0"/>
    <numFmt numFmtId="167" formatCode="_-&quot;$&quot;\ * #,##0_-;\-&quot;$&quot;\ * #,##0_-;_-&quot;$&quot;\ * &quot;-&quot;??_-;_-@_-"/>
    <numFmt numFmtId="168" formatCode="_(* #,##0.00_);_(* \(#,##0.00\);_(* &quot;-&quot;??_);_(@_)"/>
    <numFmt numFmtId="169" formatCode="_-* #,##0_-;\-* #,##0_-;_-* &quot;-&quot;??_-;_-@_-"/>
    <numFmt numFmtId="170" formatCode="_-* #,##0.0_-;\-* #,##0.0_-;_-* &quot;-&quot;??_-;_-@_-"/>
    <numFmt numFmtId="171" formatCode="#\ ???/???"/>
    <numFmt numFmtId="172" formatCode="0.000%"/>
    <numFmt numFmtId="173" formatCode="[$$]#,##0"/>
    <numFmt numFmtId="174" formatCode="_-* #,##0.00\ _p_t_a_-;\-* #,##0.00\ _p_t_a_-;_-* &quot;-&quot;??\ _p_t_a_-;_-@_-"/>
    <numFmt numFmtId="175" formatCode="_-* #,##0\ _p_t_a_-;\-* #,##0\ _p_t_a_-;_-* &quot;-&quot;??\ _p_t_a_-;_-@_-"/>
    <numFmt numFmtId="176" formatCode="_(* #,##0_);_(* \(#,##0\);_(* &quot;-&quot;??_);_(@_)"/>
  </numFmts>
  <fonts count="83"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0"/>
      <name val="Arial"/>
      <family val="2"/>
    </font>
    <font>
      <sz val="10"/>
      <name val="Arial"/>
      <family val="2"/>
    </font>
    <font>
      <b/>
      <sz val="10"/>
      <color indexed="9"/>
      <name val="Arial"/>
      <family val="2"/>
    </font>
    <font>
      <sz val="10"/>
      <color indexed="12"/>
      <name val="Arial"/>
      <family val="2"/>
    </font>
    <font>
      <sz val="10"/>
      <color indexed="8"/>
      <name val="Arial"/>
      <family val="2"/>
    </font>
    <font>
      <b/>
      <sz val="10"/>
      <color indexed="8"/>
      <name val="Arial"/>
      <family val="2"/>
    </font>
    <font>
      <sz val="8"/>
      <name val="Aptos Narrow"/>
      <family val="2"/>
      <scheme val="minor"/>
    </font>
    <font>
      <b/>
      <sz val="20"/>
      <color indexed="12"/>
      <name val="Arial"/>
      <family val="2"/>
    </font>
    <font>
      <sz val="16"/>
      <color theme="1"/>
      <name val="Aptos Narrow"/>
      <family val="2"/>
      <scheme val="minor"/>
    </font>
    <font>
      <b/>
      <sz val="9"/>
      <color indexed="81"/>
      <name val="Tahoma"/>
      <family val="2"/>
    </font>
    <font>
      <sz val="9"/>
      <color indexed="81"/>
      <name val="Tahoma"/>
      <family val="2"/>
    </font>
    <font>
      <b/>
      <sz val="11"/>
      <name val="Aptos Narrow"/>
      <family val="2"/>
      <scheme val="minor"/>
    </font>
    <font>
      <b/>
      <sz val="10"/>
      <color theme="0"/>
      <name val="Arial"/>
      <family val="2"/>
    </font>
    <font>
      <sz val="16"/>
      <color theme="0"/>
      <name val="Aptos Narrow"/>
      <family val="2"/>
      <scheme val="minor"/>
    </font>
    <font>
      <sz val="10"/>
      <color theme="0"/>
      <name val="Arial"/>
      <family val="2"/>
    </font>
    <font>
      <sz val="10"/>
      <color rgb="FF202122"/>
      <name val="Arial"/>
      <family val="2"/>
    </font>
    <font>
      <b/>
      <sz val="18"/>
      <name val="Aptos Narrow"/>
      <family val="2"/>
      <scheme val="minor"/>
    </font>
    <font>
      <b/>
      <sz val="9"/>
      <name val="Arial"/>
      <family val="2"/>
    </font>
    <font>
      <b/>
      <sz val="14"/>
      <color indexed="12"/>
      <name val="Arial"/>
      <family val="2"/>
    </font>
    <font>
      <b/>
      <i/>
      <u/>
      <sz val="14"/>
      <color rgb="FFFF0000"/>
      <name val="Arial"/>
      <family val="2"/>
    </font>
    <font>
      <b/>
      <sz val="10"/>
      <color rgb="FFFFFF00"/>
      <name val="Arial"/>
      <family val="2"/>
    </font>
    <font>
      <b/>
      <sz val="8"/>
      <color indexed="9"/>
      <name val="Arial"/>
      <family val="2"/>
    </font>
    <font>
      <b/>
      <u/>
      <sz val="20"/>
      <color rgb="FFFF0000"/>
      <name val="Arial"/>
      <family val="2"/>
    </font>
    <font>
      <b/>
      <sz val="10"/>
      <color theme="1"/>
      <name val="Arial"/>
      <family val="2"/>
    </font>
    <font>
      <sz val="10"/>
      <color theme="1"/>
      <name val="Arial"/>
      <family val="2"/>
    </font>
    <font>
      <b/>
      <sz val="8"/>
      <color rgb="FFFFFF00"/>
      <name val="Arial"/>
      <family val="2"/>
    </font>
    <font>
      <b/>
      <sz val="10"/>
      <color rgb="FF202122"/>
      <name val="Arial"/>
      <family val="2"/>
    </font>
    <font>
      <sz val="11"/>
      <color rgb="FFFF0000"/>
      <name val="Aptos Narrow"/>
      <family val="2"/>
      <scheme val="minor"/>
    </font>
    <font>
      <b/>
      <sz val="9"/>
      <color indexed="9"/>
      <name val="Arial"/>
      <family val="2"/>
    </font>
    <font>
      <b/>
      <sz val="11"/>
      <color indexed="9"/>
      <name val="Arial"/>
      <family val="2"/>
    </font>
    <font>
      <b/>
      <u/>
      <sz val="12"/>
      <color rgb="FFFF0000"/>
      <name val="Aptos Narrow"/>
      <family val="2"/>
      <scheme val="minor"/>
    </font>
    <font>
      <sz val="9"/>
      <color indexed="12"/>
      <name val="Arial"/>
      <family val="2"/>
    </font>
    <font>
      <b/>
      <sz val="10"/>
      <color rgb="FFFF0000"/>
      <name val="Arial"/>
      <family val="2"/>
    </font>
    <font>
      <sz val="11"/>
      <color indexed="12"/>
      <name val="Arial"/>
      <family val="2"/>
    </font>
    <font>
      <sz val="14"/>
      <color indexed="12"/>
      <name val="Arial"/>
      <family val="2"/>
    </font>
    <font>
      <b/>
      <sz val="11"/>
      <color rgb="FFFFFF00"/>
      <name val="Arial"/>
      <family val="2"/>
    </font>
    <font>
      <b/>
      <sz val="12"/>
      <color indexed="9"/>
      <name val="Arial"/>
      <family val="2"/>
    </font>
    <font>
      <b/>
      <sz val="12"/>
      <color theme="1"/>
      <name val="Aptos Narrow"/>
      <family val="2"/>
      <scheme val="minor"/>
    </font>
    <font>
      <b/>
      <sz val="12"/>
      <color rgb="FFFF0000"/>
      <name val="Aptos Narrow"/>
      <family val="2"/>
      <scheme val="minor"/>
    </font>
    <font>
      <b/>
      <sz val="14"/>
      <color indexed="9"/>
      <name val="Arial"/>
      <family val="2"/>
    </font>
    <font>
      <b/>
      <sz val="14"/>
      <color rgb="FFFFFF00"/>
      <name val="Arial"/>
      <family val="2"/>
    </font>
    <font>
      <b/>
      <i/>
      <u/>
      <sz val="14"/>
      <color rgb="FFFFFF00"/>
      <name val="Arial"/>
      <family val="2"/>
    </font>
    <font>
      <sz val="14"/>
      <color theme="1"/>
      <name val="Aptos Narrow"/>
      <family val="2"/>
      <scheme val="minor"/>
    </font>
    <font>
      <b/>
      <sz val="14"/>
      <color theme="1"/>
      <name val="Aptos Narrow"/>
      <family val="2"/>
      <scheme val="minor"/>
    </font>
    <font>
      <b/>
      <sz val="12"/>
      <color theme="1"/>
      <name val="Aptos Narrow"/>
      <family val="2"/>
      <scheme val="minor"/>
    </font>
    <font>
      <b/>
      <u/>
      <sz val="11"/>
      <color rgb="FFFF0000"/>
      <name val="Aptos Narrow"/>
      <family val="2"/>
      <scheme val="minor"/>
    </font>
    <font>
      <b/>
      <sz val="11"/>
      <color rgb="FFFF0000"/>
      <name val="Aptos Narrow"/>
      <family val="2"/>
      <scheme val="minor"/>
    </font>
    <font>
      <b/>
      <sz val="14"/>
      <name val="Arial"/>
      <family val="2"/>
    </font>
    <font>
      <b/>
      <u/>
      <sz val="11"/>
      <color theme="8"/>
      <name val="Aptos Narrow"/>
      <family val="2"/>
      <scheme val="minor"/>
    </font>
    <font>
      <sz val="11"/>
      <name val="Aptos Narrow"/>
      <family val="2"/>
      <scheme val="minor"/>
    </font>
    <font>
      <sz val="10"/>
      <name val="Verdana"/>
      <family val="2"/>
    </font>
    <font>
      <b/>
      <sz val="10"/>
      <color theme="1"/>
      <name val="Aptos Narrow"/>
      <family val="2"/>
      <scheme val="minor"/>
    </font>
    <font>
      <sz val="9"/>
      <color theme="1"/>
      <name val="Aptos Narrow"/>
      <family val="2"/>
      <scheme val="minor"/>
    </font>
    <font>
      <sz val="8"/>
      <name val="Arial"/>
      <family val="2"/>
    </font>
    <font>
      <b/>
      <sz val="12"/>
      <color indexed="12"/>
      <name val="Arial"/>
      <family val="2"/>
    </font>
    <font>
      <b/>
      <sz val="8"/>
      <name val="Arial"/>
      <family val="2"/>
    </font>
    <font>
      <b/>
      <sz val="12"/>
      <color rgb="FFFF0000"/>
      <name val="Arial"/>
      <family val="2"/>
    </font>
    <font>
      <b/>
      <sz val="8"/>
      <color indexed="8"/>
      <name val="Calibri"/>
      <family val="2"/>
    </font>
    <font>
      <b/>
      <sz val="9"/>
      <color theme="1"/>
      <name val="Aptos Narrow"/>
      <family val="2"/>
      <scheme val="minor"/>
    </font>
    <font>
      <b/>
      <u val="singleAccounting"/>
      <sz val="11"/>
      <color theme="8"/>
      <name val="Aptos Narrow"/>
      <family val="2"/>
      <scheme val="minor"/>
    </font>
    <font>
      <sz val="11"/>
      <color theme="8"/>
      <name val="Aptos Narrow"/>
      <family val="2"/>
      <scheme val="minor"/>
    </font>
    <font>
      <b/>
      <sz val="11"/>
      <color theme="1"/>
      <name val="Aptos Narrow"/>
      <family val="2"/>
      <scheme val="minor"/>
    </font>
    <font>
      <b/>
      <sz val="8"/>
      <color theme="1"/>
      <name val="Aptos Narrow"/>
      <family val="2"/>
      <scheme val="minor"/>
    </font>
    <font>
      <sz val="11"/>
      <color theme="1"/>
      <name val="Arial"/>
      <family val="2"/>
    </font>
    <font>
      <b/>
      <sz val="11"/>
      <color theme="1"/>
      <name val="Arial"/>
      <family val="2"/>
    </font>
    <font>
      <sz val="10"/>
      <color theme="1"/>
      <name val="Aptos Narrow"/>
      <family val="2"/>
      <scheme val="minor"/>
    </font>
    <font>
      <b/>
      <sz val="10"/>
      <color theme="1"/>
      <name val="Aptos Narrow"/>
      <scheme val="minor"/>
    </font>
    <font>
      <sz val="8"/>
      <color theme="1"/>
      <name val="Aptos Narrow"/>
      <family val="2"/>
      <scheme val="minor"/>
    </font>
    <font>
      <sz val="9"/>
      <name val="Arial"/>
      <family val="2"/>
    </font>
    <font>
      <sz val="9"/>
      <color theme="1"/>
      <name val="Arial"/>
      <family val="2"/>
    </font>
    <font>
      <b/>
      <sz val="9"/>
      <color theme="1"/>
      <name val="Arial"/>
      <family val="2"/>
    </font>
    <font>
      <b/>
      <i/>
      <sz val="8"/>
      <color theme="0"/>
      <name val="Arial"/>
      <family val="2"/>
    </font>
    <font>
      <sz val="8"/>
      <color theme="1"/>
      <name val="Arial"/>
      <family val="2"/>
    </font>
    <font>
      <b/>
      <sz val="8"/>
      <color theme="1"/>
      <name val="Arial"/>
      <family val="2"/>
    </font>
    <font>
      <sz val="10"/>
      <color rgb="FFFF0000"/>
      <name val="Arial"/>
      <family val="2"/>
    </font>
    <font>
      <b/>
      <sz val="14"/>
      <color rgb="FFFF0000"/>
      <name val="Arial"/>
      <family val="2"/>
    </font>
    <font>
      <b/>
      <sz val="10"/>
      <color theme="0"/>
      <name val="Aptos Narrow"/>
      <family val="2"/>
      <scheme val="minor"/>
    </font>
    <font>
      <u/>
      <sz val="11"/>
      <color theme="10"/>
      <name val="Aptos Narrow"/>
      <family val="2"/>
      <scheme val="minor"/>
    </font>
  </fonts>
  <fills count="15">
    <fill>
      <patternFill patternType="none"/>
    </fill>
    <fill>
      <patternFill patternType="gray125"/>
    </fill>
    <fill>
      <patternFill patternType="solid">
        <fgColor theme="0" tint="-0.14996795556505021"/>
        <bgColor indexed="64"/>
      </patternFill>
    </fill>
    <fill>
      <patternFill patternType="solid">
        <fgColor indexed="18"/>
        <bgColor indexed="64"/>
      </patternFill>
    </fill>
    <fill>
      <patternFill patternType="solid">
        <fgColor indexed="26"/>
        <bgColor indexed="64"/>
      </patternFill>
    </fill>
    <fill>
      <patternFill patternType="solid">
        <fgColor theme="0" tint="-0.24994659260841701"/>
        <bgColor indexed="64"/>
      </patternFill>
    </fill>
    <fill>
      <patternFill patternType="solid">
        <fgColor theme="0"/>
        <bgColor indexed="64"/>
      </patternFill>
    </fill>
    <fill>
      <patternFill patternType="solid">
        <fgColor theme="0" tint="-4.9989318521683403E-2"/>
        <bgColor indexed="64"/>
      </patternFill>
    </fill>
    <fill>
      <patternFill patternType="solid">
        <fgColor theme="3" tint="9.9978637043366805E-2"/>
        <bgColor indexed="64"/>
      </patternFill>
    </fill>
    <fill>
      <patternFill patternType="solid">
        <fgColor theme="0" tint="-0.249977111117893"/>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56"/>
        <bgColor indexed="64"/>
      </patternFill>
    </fill>
    <fill>
      <patternFill patternType="solid">
        <fgColor theme="5" tint="0.79998168889431442"/>
        <bgColor indexed="64"/>
      </patternFill>
    </fill>
    <fill>
      <patternFill patternType="solid">
        <fgColor theme="5" tint="0.59999389629810485"/>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top/>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right/>
      <top/>
      <bottom style="thin">
        <color indexed="64"/>
      </bottom>
      <diagonal/>
    </border>
    <border>
      <left style="hair">
        <color indexed="64"/>
      </left>
      <right style="hair">
        <color indexed="64"/>
      </right>
      <top style="medium">
        <color indexed="64"/>
      </top>
      <bottom style="hair">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style="hair">
        <color indexed="64"/>
      </left>
      <right/>
      <top/>
      <bottom style="thin">
        <color indexed="64"/>
      </bottom>
      <diagonal/>
    </border>
    <border>
      <left/>
      <right style="hair">
        <color indexed="64"/>
      </right>
      <top/>
      <bottom/>
      <diagonal/>
    </border>
    <border>
      <left style="hair">
        <color indexed="64"/>
      </left>
      <right style="hair">
        <color indexed="64"/>
      </right>
      <top/>
      <bottom style="hair">
        <color indexed="64"/>
      </bottom>
      <diagonal/>
    </border>
    <border>
      <left/>
      <right style="medium">
        <color indexed="64"/>
      </right>
      <top/>
      <bottom/>
      <diagonal/>
    </border>
    <border>
      <left style="hair">
        <color indexed="64"/>
      </left>
      <right/>
      <top style="medium">
        <color indexed="64"/>
      </top>
      <bottom style="hair">
        <color indexed="64"/>
      </bottom>
      <diagonal/>
    </border>
    <border>
      <left style="thin">
        <color indexed="64"/>
      </left>
      <right style="thin">
        <color indexed="64"/>
      </right>
      <top/>
      <bottom/>
      <diagonal/>
    </border>
    <border>
      <left style="hair">
        <color indexed="64"/>
      </left>
      <right style="hair">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medium">
        <color indexed="64"/>
      </top>
      <bottom style="medium">
        <color indexed="64"/>
      </bottom>
      <diagonal/>
    </border>
    <border>
      <left style="hair">
        <color indexed="64"/>
      </left>
      <right/>
      <top/>
      <bottom style="hair">
        <color indexed="64"/>
      </bottom>
      <diagonal/>
    </border>
    <border>
      <left style="thin">
        <color indexed="64"/>
      </left>
      <right/>
      <top/>
      <bottom/>
      <diagonal/>
    </border>
  </borders>
  <cellStyleXfs count="9">
    <xf numFmtId="0" fontId="0" fillId="0" borderId="0"/>
    <xf numFmtId="43" fontId="1" fillId="0" borderId="0" applyFont="0" applyFill="0" applyBorder="0" applyAlignment="0" applyProtection="0"/>
    <xf numFmtId="165" fontId="1" fillId="0" borderId="0" applyFont="0" applyFill="0" applyBorder="0" applyAlignment="0" applyProtection="0"/>
    <xf numFmtId="168" fontId="6" fillId="0" borderId="0" applyFont="0" applyFill="0" applyBorder="0" applyAlignment="0" applyProtection="0"/>
    <xf numFmtId="9" fontId="1" fillId="0" borderId="0" applyFont="0" applyFill="0" applyBorder="0" applyAlignment="0" applyProtection="0"/>
    <xf numFmtId="0" fontId="6" fillId="0" borderId="0"/>
    <xf numFmtId="174" fontId="6" fillId="0" borderId="0" applyFont="0" applyFill="0" applyBorder="0" applyAlignment="0" applyProtection="0"/>
    <xf numFmtId="9" fontId="6" fillId="0" borderId="0" applyFont="0" applyFill="0" applyBorder="0" applyAlignment="0" applyProtection="0"/>
    <xf numFmtId="0" fontId="82" fillId="0" borderId="0" applyNumberFormat="0" applyFill="0" applyBorder="0" applyAlignment="0" applyProtection="0"/>
  </cellStyleXfs>
  <cellXfs count="471">
    <xf numFmtId="0" fontId="0" fillId="0" borderId="0" xfId="0"/>
    <xf numFmtId="0" fontId="5" fillId="2" borderId="0" xfId="0" applyFont="1" applyFill="1" applyProtection="1">
      <protection hidden="1"/>
    </xf>
    <xf numFmtId="0" fontId="6" fillId="2" borderId="0" xfId="0" applyFont="1" applyFill="1" applyProtection="1">
      <protection hidden="1"/>
    </xf>
    <xf numFmtId="43" fontId="6" fillId="2" borderId="0" xfId="1" applyFont="1" applyFill="1" applyProtection="1">
      <protection hidden="1"/>
    </xf>
    <xf numFmtId="165" fontId="6" fillId="2" borderId="0" xfId="2" applyFont="1" applyFill="1" applyProtection="1">
      <protection hidden="1"/>
    </xf>
    <xf numFmtId="166" fontId="7" fillId="3" borderId="1" xfId="0" applyNumberFormat="1" applyFont="1" applyFill="1" applyBorder="1" applyAlignment="1" applyProtection="1">
      <alignment horizontal="center"/>
      <protection hidden="1"/>
    </xf>
    <xf numFmtId="43" fontId="7" fillId="3" borderId="1" xfId="1" applyFont="1" applyFill="1" applyBorder="1" applyAlignment="1" applyProtection="1">
      <alignment horizontal="center"/>
      <protection hidden="1"/>
    </xf>
    <xf numFmtId="165" fontId="7" fillId="3" borderId="1" xfId="2" applyFont="1" applyFill="1" applyBorder="1" applyAlignment="1" applyProtection="1">
      <alignment horizontal="center"/>
      <protection hidden="1"/>
    </xf>
    <xf numFmtId="167" fontId="8" fillId="4" borderId="1" xfId="2" applyNumberFormat="1" applyFont="1" applyFill="1" applyBorder="1" applyAlignment="1" applyProtection="1">
      <alignment horizontal="left" vertical="center"/>
      <protection locked="0" hidden="1"/>
    </xf>
    <xf numFmtId="43" fontId="8" fillId="4" borderId="1" xfId="1" applyFont="1" applyFill="1" applyBorder="1" applyAlignment="1" applyProtection="1">
      <alignment horizontal="left" vertical="center"/>
      <protection locked="0" hidden="1"/>
    </xf>
    <xf numFmtId="167" fontId="8" fillId="4" borderId="1" xfId="2" applyNumberFormat="1" applyFont="1" applyFill="1" applyBorder="1" applyAlignment="1" applyProtection="1">
      <alignment horizontal="center" vertical="center"/>
      <protection locked="0" hidden="1"/>
    </xf>
    <xf numFmtId="167" fontId="9" fillId="0" borderId="1" xfId="2" applyNumberFormat="1" applyFont="1" applyFill="1" applyBorder="1" applyProtection="1">
      <protection hidden="1"/>
    </xf>
    <xf numFmtId="167" fontId="10" fillId="0" borderId="1" xfId="2" applyNumberFormat="1" applyFont="1" applyFill="1" applyBorder="1" applyProtection="1">
      <protection hidden="1"/>
    </xf>
    <xf numFmtId="167" fontId="8" fillId="0" borderId="1" xfId="2" applyNumberFormat="1" applyFont="1" applyFill="1" applyBorder="1" applyAlignment="1" applyProtection="1">
      <alignment horizontal="center" vertical="center"/>
      <protection hidden="1"/>
    </xf>
    <xf numFmtId="3" fontId="8" fillId="0" borderId="1" xfId="3" applyNumberFormat="1" applyFont="1" applyFill="1" applyBorder="1" applyAlignment="1" applyProtection="1">
      <alignment horizontal="center"/>
      <protection hidden="1"/>
    </xf>
    <xf numFmtId="0" fontId="0" fillId="0" borderId="0" xfId="0" applyProtection="1">
      <protection hidden="1"/>
    </xf>
    <xf numFmtId="166" fontId="7" fillId="3" borderId="5" xfId="0" applyNumberFormat="1" applyFont="1" applyFill="1" applyBorder="1" applyAlignment="1" applyProtection="1">
      <alignment horizontal="center"/>
      <protection hidden="1"/>
    </xf>
    <xf numFmtId="169" fontId="8" fillId="4" borderId="1" xfId="1" applyNumberFormat="1" applyFont="1" applyFill="1" applyBorder="1" applyAlignment="1" applyProtection="1">
      <alignment horizontal="center" vertical="center"/>
      <protection locked="0"/>
    </xf>
    <xf numFmtId="170" fontId="6" fillId="6" borderId="1" xfId="1" applyNumberFormat="1" applyFont="1" applyFill="1" applyBorder="1" applyAlignment="1" applyProtection="1">
      <alignment horizontal="center" vertical="center"/>
      <protection hidden="1"/>
    </xf>
    <xf numFmtId="169" fontId="3" fillId="0" borderId="1" xfId="0" applyNumberFormat="1" applyFont="1" applyBorder="1" applyProtection="1">
      <protection hidden="1"/>
    </xf>
    <xf numFmtId="169" fontId="8" fillId="0" borderId="1" xfId="1" applyNumberFormat="1" applyFont="1" applyFill="1" applyBorder="1" applyAlignment="1" applyProtection="1">
      <alignment horizontal="center" vertical="center"/>
      <protection hidden="1"/>
    </xf>
    <xf numFmtId="167" fontId="6" fillId="6" borderId="1" xfId="2" applyNumberFormat="1" applyFont="1" applyFill="1" applyBorder="1" applyAlignment="1" applyProtection="1">
      <alignment horizontal="center" vertical="center"/>
      <protection hidden="1"/>
    </xf>
    <xf numFmtId="167" fontId="5" fillId="6" borderId="1" xfId="2" applyNumberFormat="1" applyFont="1" applyFill="1" applyBorder="1" applyAlignment="1" applyProtection="1">
      <alignment horizontal="center" vertical="center"/>
      <protection hidden="1"/>
    </xf>
    <xf numFmtId="0" fontId="4" fillId="0" borderId="0" xfId="0" applyFont="1" applyProtection="1">
      <protection hidden="1"/>
    </xf>
    <xf numFmtId="166" fontId="17" fillId="0" borderId="0" xfId="0" applyNumberFormat="1" applyFont="1" applyAlignment="1" applyProtection="1">
      <alignment horizontal="center"/>
      <protection hidden="1"/>
    </xf>
    <xf numFmtId="169" fontId="19" fillId="0" borderId="0" xfId="1" applyNumberFormat="1" applyFont="1" applyFill="1" applyBorder="1" applyAlignment="1" applyProtection="1">
      <alignment horizontal="center" vertical="center"/>
      <protection hidden="1"/>
    </xf>
    <xf numFmtId="170" fontId="19" fillId="0" borderId="0" xfId="1" applyNumberFormat="1" applyFont="1" applyFill="1" applyBorder="1" applyAlignment="1" applyProtection="1">
      <alignment horizontal="center" vertical="center"/>
      <protection hidden="1"/>
    </xf>
    <xf numFmtId="169" fontId="2" fillId="0" borderId="0" xfId="0" applyNumberFormat="1" applyFont="1" applyProtection="1">
      <protection hidden="1"/>
    </xf>
    <xf numFmtId="166" fontId="17" fillId="0" borderId="0" xfId="0" applyNumberFormat="1" applyFont="1" applyProtection="1">
      <protection hidden="1"/>
    </xf>
    <xf numFmtId="3" fontId="19" fillId="0" borderId="0" xfId="3" applyNumberFormat="1" applyFont="1" applyFill="1" applyBorder="1" applyAlignment="1" applyProtection="1">
      <alignment horizontal="right" vertical="center"/>
      <protection hidden="1"/>
    </xf>
    <xf numFmtId="0" fontId="2" fillId="0" borderId="0" xfId="0" applyFont="1" applyAlignment="1" applyProtection="1">
      <alignment horizontal="right"/>
      <protection hidden="1"/>
    </xf>
    <xf numFmtId="166" fontId="7" fillId="3" borderId="5" xfId="0" applyNumberFormat="1" applyFont="1" applyFill="1" applyBorder="1" applyProtection="1">
      <protection hidden="1"/>
    </xf>
    <xf numFmtId="3" fontId="8" fillId="6" borderId="1" xfId="3" applyNumberFormat="1" applyFont="1" applyFill="1" applyBorder="1" applyAlignment="1" applyProtection="1">
      <alignment horizontal="right" vertical="center"/>
      <protection hidden="1"/>
    </xf>
    <xf numFmtId="169" fontId="6" fillId="6" borderId="1" xfId="1" applyNumberFormat="1" applyFont="1" applyFill="1" applyBorder="1" applyAlignment="1" applyProtection="1">
      <alignment horizontal="center" vertical="center"/>
      <protection hidden="1"/>
    </xf>
    <xf numFmtId="0" fontId="3" fillId="0" borderId="1" xfId="0" applyFont="1" applyBorder="1" applyAlignment="1" applyProtection="1">
      <alignment horizontal="right"/>
      <protection hidden="1"/>
    </xf>
    <xf numFmtId="0" fontId="0" fillId="0" borderId="0" xfId="0" applyAlignment="1" applyProtection="1">
      <alignment horizontal="right"/>
      <protection hidden="1"/>
    </xf>
    <xf numFmtId="166" fontId="7" fillId="3" borderId="0" xfId="0" applyNumberFormat="1" applyFont="1" applyFill="1" applyAlignment="1" applyProtection="1">
      <alignment horizontal="center"/>
      <protection hidden="1"/>
    </xf>
    <xf numFmtId="167" fontId="0" fillId="0" borderId="1" xfId="2" applyNumberFormat="1" applyFont="1" applyBorder="1"/>
    <xf numFmtId="3" fontId="6" fillId="6" borderId="1" xfId="3" applyNumberFormat="1" applyFont="1" applyFill="1" applyBorder="1" applyAlignment="1" applyProtection="1">
      <alignment horizontal="right" vertical="center"/>
      <protection hidden="1"/>
    </xf>
    <xf numFmtId="167" fontId="6" fillId="0" borderId="1" xfId="2" applyNumberFormat="1" applyFont="1" applyFill="1" applyBorder="1" applyAlignment="1" applyProtection="1">
      <alignment horizontal="center" vertical="center"/>
      <protection hidden="1"/>
    </xf>
    <xf numFmtId="167" fontId="3" fillId="0" borderId="1" xfId="2" applyNumberFormat="1" applyFont="1" applyBorder="1" applyProtection="1">
      <protection hidden="1"/>
    </xf>
    <xf numFmtId="3" fontId="6" fillId="0" borderId="1" xfId="3" applyNumberFormat="1" applyFont="1" applyFill="1" applyBorder="1" applyAlignment="1" applyProtection="1">
      <alignment horizontal="right" vertical="center"/>
      <protection hidden="1"/>
    </xf>
    <xf numFmtId="167" fontId="6" fillId="0" borderId="1" xfId="2" applyNumberFormat="1" applyFont="1" applyFill="1" applyBorder="1" applyAlignment="1" applyProtection="1">
      <alignment horizontal="right" vertical="center"/>
      <protection hidden="1"/>
    </xf>
    <xf numFmtId="167" fontId="16" fillId="0" borderId="1" xfId="2" applyNumberFormat="1" applyFont="1" applyFill="1" applyBorder="1" applyAlignment="1" applyProtection="1">
      <alignment horizontal="right"/>
      <protection hidden="1"/>
    </xf>
    <xf numFmtId="167" fontId="16" fillId="0" borderId="1" xfId="2" applyNumberFormat="1" applyFont="1" applyFill="1" applyBorder="1" applyProtection="1">
      <protection hidden="1"/>
    </xf>
    <xf numFmtId="166" fontId="7" fillId="3" borderId="1" xfId="0" applyNumberFormat="1" applyFont="1" applyFill="1" applyBorder="1" applyProtection="1">
      <protection hidden="1"/>
    </xf>
    <xf numFmtId="3" fontId="6" fillId="6" borderId="1" xfId="3" applyNumberFormat="1" applyFont="1" applyFill="1" applyBorder="1" applyAlignment="1" applyProtection="1">
      <alignment horizontal="right"/>
      <protection hidden="1"/>
    </xf>
    <xf numFmtId="169" fontId="0" fillId="0" borderId="1" xfId="1" applyNumberFormat="1" applyFont="1" applyBorder="1" applyProtection="1">
      <protection hidden="1"/>
    </xf>
    <xf numFmtId="3" fontId="5" fillId="6" borderId="1" xfId="3" applyNumberFormat="1" applyFont="1" applyFill="1" applyBorder="1" applyAlignment="1" applyProtection="1">
      <alignment horizontal="right"/>
      <protection hidden="1"/>
    </xf>
    <xf numFmtId="169" fontId="3" fillId="7" borderId="1" xfId="1" applyNumberFormat="1" applyFont="1" applyFill="1" applyBorder="1" applyProtection="1">
      <protection hidden="1"/>
    </xf>
    <xf numFmtId="167" fontId="0" fillId="0" borderId="1" xfId="2" applyNumberFormat="1" applyFont="1" applyBorder="1" applyProtection="1">
      <protection hidden="1"/>
    </xf>
    <xf numFmtId="167" fontId="3" fillId="7" borderId="1" xfId="0" applyNumberFormat="1" applyFont="1" applyFill="1" applyBorder="1" applyProtection="1">
      <protection hidden="1"/>
    </xf>
    <xf numFmtId="3" fontId="5" fillId="0" borderId="0" xfId="3" applyNumberFormat="1" applyFont="1" applyFill="1" applyBorder="1" applyAlignment="1" applyProtection="1">
      <alignment horizontal="right"/>
      <protection hidden="1"/>
    </xf>
    <xf numFmtId="167" fontId="3" fillId="0" borderId="0" xfId="0" applyNumberFormat="1" applyFont="1" applyProtection="1">
      <protection hidden="1"/>
    </xf>
    <xf numFmtId="3" fontId="0" fillId="0" borderId="1" xfId="0" applyNumberFormat="1" applyBorder="1" applyProtection="1">
      <protection hidden="1"/>
    </xf>
    <xf numFmtId="167" fontId="0" fillId="0" borderId="1" xfId="0" applyNumberFormat="1" applyBorder="1" applyProtection="1">
      <protection hidden="1"/>
    </xf>
    <xf numFmtId="3" fontId="0" fillId="0" borderId="1" xfId="0" applyNumberFormat="1" applyBorder="1" applyAlignment="1" applyProtection="1">
      <alignment horizontal="left"/>
      <protection hidden="1"/>
    </xf>
    <xf numFmtId="10" fontId="0" fillId="0" borderId="1" xfId="4" applyNumberFormat="1" applyFont="1" applyBorder="1" applyProtection="1">
      <protection hidden="1"/>
    </xf>
    <xf numFmtId="10" fontId="0" fillId="0" borderId="0" xfId="4" applyNumberFormat="1" applyFont="1" applyProtection="1">
      <protection hidden="1"/>
    </xf>
    <xf numFmtId="3" fontId="0" fillId="0" borderId="0" xfId="0" applyNumberFormat="1" applyProtection="1">
      <protection hidden="1"/>
    </xf>
    <xf numFmtId="167" fontId="0" fillId="0" borderId="0" xfId="0" applyNumberFormat="1" applyProtection="1">
      <protection hidden="1"/>
    </xf>
    <xf numFmtId="9" fontId="0" fillId="0" borderId="0" xfId="4" applyFont="1" applyProtection="1">
      <protection hidden="1"/>
    </xf>
    <xf numFmtId="169" fontId="8" fillId="4" borderId="1" xfId="1" applyNumberFormat="1" applyFont="1" applyFill="1" applyBorder="1" applyAlignment="1" applyProtection="1">
      <alignment horizontal="center" vertical="center"/>
      <protection hidden="1"/>
    </xf>
    <xf numFmtId="167" fontId="8" fillId="4" borderId="1" xfId="2" applyNumberFormat="1" applyFont="1" applyFill="1" applyBorder="1" applyAlignment="1" applyProtection="1">
      <alignment horizontal="center" vertical="center"/>
      <protection locked="0"/>
    </xf>
    <xf numFmtId="167" fontId="7" fillId="3" borderId="6" xfId="2" applyNumberFormat="1" applyFont="1" applyFill="1" applyBorder="1" applyAlignment="1" applyProtection="1">
      <alignment horizontal="center"/>
      <protection hidden="1"/>
    </xf>
    <xf numFmtId="164" fontId="3" fillId="0" borderId="1" xfId="2" applyNumberFormat="1" applyFont="1" applyBorder="1" applyProtection="1">
      <protection hidden="1"/>
    </xf>
    <xf numFmtId="167" fontId="7" fillId="3" borderId="9" xfId="2" applyNumberFormat="1" applyFont="1" applyFill="1" applyBorder="1" applyAlignment="1" applyProtection="1">
      <alignment horizontal="center"/>
      <protection hidden="1"/>
    </xf>
    <xf numFmtId="171" fontId="8" fillId="4" borderId="1" xfId="1" applyNumberFormat="1" applyFont="1" applyFill="1" applyBorder="1" applyAlignment="1" applyProtection="1">
      <alignment horizontal="center" vertical="center"/>
      <protection locked="0"/>
    </xf>
    <xf numFmtId="0" fontId="5" fillId="0" borderId="0" xfId="0" applyFont="1" applyAlignment="1" applyProtection="1">
      <alignment horizontal="left"/>
      <protection hidden="1"/>
    </xf>
    <xf numFmtId="171" fontId="5" fillId="0" borderId="0" xfId="0" applyNumberFormat="1" applyFont="1" applyAlignment="1" applyProtection="1">
      <alignment horizontal="left"/>
      <protection hidden="1"/>
    </xf>
    <xf numFmtId="166" fontId="7" fillId="3" borderId="5" xfId="0" applyNumberFormat="1" applyFont="1" applyFill="1" applyBorder="1" applyAlignment="1" applyProtection="1">
      <alignment vertical="center"/>
      <protection hidden="1"/>
    </xf>
    <xf numFmtId="166" fontId="7" fillId="3" borderId="1" xfId="0" applyNumberFormat="1" applyFont="1" applyFill="1" applyBorder="1" applyAlignment="1" applyProtection="1">
      <alignment vertical="center" wrapText="1"/>
      <protection hidden="1"/>
    </xf>
    <xf numFmtId="171" fontId="7" fillId="3" borderId="1" xfId="0" applyNumberFormat="1" applyFont="1" applyFill="1" applyBorder="1" applyAlignment="1" applyProtection="1">
      <alignment horizontal="center" vertical="center" wrapText="1"/>
      <protection hidden="1"/>
    </xf>
    <xf numFmtId="166" fontId="7" fillId="3" borderId="1" xfId="0" applyNumberFormat="1" applyFont="1" applyFill="1" applyBorder="1" applyAlignment="1" applyProtection="1">
      <alignment horizontal="center" vertical="center" wrapText="1"/>
      <protection hidden="1"/>
    </xf>
    <xf numFmtId="166" fontId="26" fillId="3" borderId="1" xfId="0" applyNumberFormat="1" applyFont="1" applyFill="1" applyBorder="1" applyAlignment="1" applyProtection="1">
      <alignment horizontal="center" vertical="center" wrapText="1"/>
      <protection hidden="1"/>
    </xf>
    <xf numFmtId="171" fontId="8" fillId="4" borderId="1" xfId="1" applyNumberFormat="1" applyFont="1" applyFill="1" applyBorder="1" applyAlignment="1" applyProtection="1">
      <alignment horizontal="center" vertical="center"/>
      <protection hidden="1"/>
    </xf>
    <xf numFmtId="167" fontId="8" fillId="4" borderId="1" xfId="2" applyNumberFormat="1" applyFont="1" applyFill="1" applyBorder="1" applyAlignment="1" applyProtection="1">
      <alignment horizontal="center" vertical="center"/>
      <protection hidden="1"/>
    </xf>
    <xf numFmtId="165" fontId="0" fillId="0" borderId="1" xfId="0" applyNumberFormat="1" applyBorder="1" applyProtection="1">
      <protection hidden="1"/>
    </xf>
    <xf numFmtId="165" fontId="3" fillId="0" borderId="1" xfId="0" applyNumberFormat="1" applyFont="1" applyBorder="1" applyProtection="1">
      <protection hidden="1"/>
    </xf>
    <xf numFmtId="171" fontId="0" fillId="0" borderId="0" xfId="0" applyNumberFormat="1" applyProtection="1">
      <protection hidden="1"/>
    </xf>
    <xf numFmtId="167" fontId="3" fillId="0" borderId="1" xfId="0" applyNumberFormat="1" applyFont="1" applyBorder="1" applyProtection="1">
      <protection hidden="1"/>
    </xf>
    <xf numFmtId="167" fontId="8" fillId="0" borderId="1" xfId="2" applyNumberFormat="1" applyFont="1" applyFill="1" applyBorder="1" applyAlignment="1" applyProtection="1">
      <alignment horizontal="left" vertical="center"/>
      <protection hidden="1"/>
    </xf>
    <xf numFmtId="167" fontId="7" fillId="3" borderId="9" xfId="2" applyNumberFormat="1" applyFont="1" applyFill="1" applyBorder="1" applyAlignment="1" applyProtection="1">
      <alignment horizontal="center"/>
    </xf>
    <xf numFmtId="171" fontId="8" fillId="0" borderId="1" xfId="1" applyNumberFormat="1" applyFont="1" applyFill="1" applyBorder="1" applyAlignment="1" applyProtection="1">
      <alignment horizontal="center" vertical="center"/>
      <protection hidden="1"/>
    </xf>
    <xf numFmtId="166" fontId="7" fillId="3" borderId="10" xfId="0" applyNumberFormat="1" applyFont="1" applyFill="1" applyBorder="1" applyAlignment="1">
      <alignment horizontal="center" vertical="center" wrapText="1"/>
    </xf>
    <xf numFmtId="3" fontId="5" fillId="5" borderId="8" xfId="0" applyNumberFormat="1" applyFont="1" applyFill="1" applyBorder="1" applyProtection="1">
      <protection hidden="1"/>
    </xf>
    <xf numFmtId="0" fontId="28" fillId="0" borderId="0" xfId="0" applyFont="1" applyAlignment="1" applyProtection="1">
      <alignment horizontal="center" vertical="center" wrapText="1"/>
      <protection hidden="1"/>
    </xf>
    <xf numFmtId="0" fontId="0" fillId="0" borderId="0" xfId="0" applyAlignment="1" applyProtection="1">
      <alignment horizontal="center" vertical="center" wrapText="1"/>
      <protection hidden="1"/>
    </xf>
    <xf numFmtId="10" fontId="17" fillId="8" borderId="15" xfId="0" applyNumberFormat="1" applyFont="1" applyFill="1" applyBorder="1" applyProtection="1">
      <protection hidden="1"/>
    </xf>
    <xf numFmtId="3" fontId="17" fillId="8" borderId="15" xfId="0" applyNumberFormat="1" applyFont="1" applyFill="1" applyBorder="1" applyProtection="1">
      <protection hidden="1"/>
    </xf>
    <xf numFmtId="0" fontId="29" fillId="0" borderId="0" xfId="0" applyFont="1" applyProtection="1">
      <protection hidden="1"/>
    </xf>
    <xf numFmtId="173" fontId="29" fillId="0" borderId="15" xfId="0" applyNumberFormat="1" applyFont="1" applyBorder="1" applyProtection="1">
      <protection hidden="1"/>
    </xf>
    <xf numFmtId="0" fontId="28" fillId="0" borderId="0" xfId="0" applyFont="1" applyProtection="1">
      <protection hidden="1"/>
    </xf>
    <xf numFmtId="3" fontId="5" fillId="5" borderId="0" xfId="0" applyNumberFormat="1" applyFont="1" applyFill="1" applyProtection="1">
      <protection hidden="1"/>
    </xf>
    <xf numFmtId="167" fontId="7" fillId="3" borderId="1" xfId="2" applyNumberFormat="1" applyFont="1" applyFill="1" applyBorder="1" applyAlignment="1" applyProtection="1">
      <alignment horizontal="center"/>
      <protection hidden="1"/>
    </xf>
    <xf numFmtId="167" fontId="7" fillId="3" borderId="9" xfId="2" applyNumberFormat="1" applyFont="1" applyFill="1" applyBorder="1" applyAlignment="1" applyProtection="1">
      <alignment horizontal="right" vertical="center" wrapText="1"/>
      <protection hidden="1"/>
    </xf>
    <xf numFmtId="167" fontId="7" fillId="3" borderId="9" xfId="2" applyNumberFormat="1" applyFont="1" applyFill="1" applyBorder="1" applyAlignment="1" applyProtection="1">
      <alignment horizontal="center" vertical="center"/>
      <protection hidden="1"/>
    </xf>
    <xf numFmtId="167" fontId="7" fillId="3" borderId="0" xfId="2" applyNumberFormat="1" applyFont="1" applyFill="1" applyBorder="1" applyAlignment="1" applyProtection="1">
      <alignment horizontal="center"/>
      <protection hidden="1"/>
    </xf>
    <xf numFmtId="169" fontId="8" fillId="0" borderId="1" xfId="1" applyNumberFormat="1" applyFont="1" applyFill="1" applyBorder="1" applyAlignment="1" applyProtection="1">
      <alignment vertical="center"/>
      <protection hidden="1"/>
    </xf>
    <xf numFmtId="169" fontId="34" fillId="3" borderId="9" xfId="1" applyNumberFormat="1" applyFont="1" applyFill="1" applyBorder="1" applyAlignment="1" applyProtection="1">
      <alignment horizontal="center" vertical="center" wrapText="1"/>
      <protection hidden="1"/>
    </xf>
    <xf numFmtId="10" fontId="29" fillId="0" borderId="15" xfId="0" applyNumberFormat="1" applyFont="1" applyBorder="1" applyProtection="1">
      <protection hidden="1"/>
    </xf>
    <xf numFmtId="172" fontId="29" fillId="0" borderId="15" xfId="0" applyNumberFormat="1" applyFont="1" applyBorder="1" applyProtection="1">
      <protection hidden="1"/>
    </xf>
    <xf numFmtId="3" fontId="29" fillId="0" borderId="15" xfId="0" applyNumberFormat="1" applyFont="1" applyBorder="1" applyProtection="1">
      <protection hidden="1"/>
    </xf>
    <xf numFmtId="167" fontId="7" fillId="3" borderId="19" xfId="2" applyNumberFormat="1" applyFont="1" applyFill="1" applyBorder="1" applyAlignment="1" applyProtection="1">
      <alignment horizontal="center"/>
      <protection hidden="1"/>
    </xf>
    <xf numFmtId="0" fontId="0" fillId="0" borderId="11" xfId="0" applyBorder="1" applyAlignment="1" applyProtection="1">
      <alignment horizontal="center" vertical="center"/>
      <protection hidden="1"/>
    </xf>
    <xf numFmtId="0" fontId="0" fillId="0" borderId="0" xfId="0" applyAlignment="1">
      <alignment horizontal="center" vertical="center"/>
    </xf>
    <xf numFmtId="169" fontId="8" fillId="4" borderId="1" xfId="1" applyNumberFormat="1" applyFont="1" applyFill="1" applyBorder="1" applyAlignment="1" applyProtection="1">
      <alignment vertical="center"/>
      <protection locked="0"/>
    </xf>
    <xf numFmtId="169" fontId="8" fillId="0" borderId="1" xfId="1" applyNumberFormat="1" applyFont="1" applyFill="1" applyBorder="1" applyAlignment="1" applyProtection="1">
      <alignment horizontal="left" vertical="center"/>
    </xf>
    <xf numFmtId="166" fontId="7" fillId="3" borderId="1" xfId="0" applyNumberFormat="1" applyFont="1" applyFill="1" applyBorder="1" applyAlignment="1" applyProtection="1">
      <alignment horizontal="center" vertical="center"/>
      <protection hidden="1"/>
    </xf>
    <xf numFmtId="0" fontId="0" fillId="0" borderId="0" xfId="0" applyAlignment="1" applyProtection="1">
      <alignment horizontal="center" vertical="center"/>
      <protection hidden="1"/>
    </xf>
    <xf numFmtId="167" fontId="7" fillId="3" borderId="1" xfId="2" applyNumberFormat="1" applyFont="1" applyFill="1" applyBorder="1" applyAlignment="1" applyProtection="1">
      <alignment horizontal="center" vertical="center"/>
      <protection hidden="1"/>
    </xf>
    <xf numFmtId="167" fontId="0" fillId="0" borderId="1" xfId="2" applyNumberFormat="1" applyFont="1" applyBorder="1" applyAlignment="1" applyProtection="1">
      <alignment horizontal="center" vertical="center"/>
      <protection hidden="1"/>
    </xf>
    <xf numFmtId="169" fontId="8" fillId="4" borderId="1" xfId="1" applyNumberFormat="1" applyFont="1" applyFill="1" applyBorder="1" applyAlignment="1" applyProtection="1">
      <alignment vertical="center"/>
      <protection hidden="1"/>
    </xf>
    <xf numFmtId="169" fontId="8" fillId="4" borderId="1" xfId="1" applyNumberFormat="1" applyFont="1" applyFill="1" applyBorder="1" applyAlignment="1" applyProtection="1">
      <alignment horizontal="left" vertical="center"/>
      <protection hidden="1"/>
    </xf>
    <xf numFmtId="169" fontId="8" fillId="0" borderId="1" xfId="1" applyNumberFormat="1" applyFont="1" applyFill="1" applyBorder="1" applyAlignment="1" applyProtection="1">
      <alignment horizontal="left" vertical="center"/>
      <protection hidden="1"/>
    </xf>
    <xf numFmtId="167" fontId="3" fillId="0" borderId="1" xfId="0" applyNumberFormat="1" applyFont="1" applyBorder="1" applyAlignment="1" applyProtection="1">
      <alignment horizontal="center" vertical="center"/>
      <protection hidden="1"/>
    </xf>
    <xf numFmtId="169" fontId="8" fillId="0" borderId="2" xfId="1" applyNumberFormat="1" applyFont="1" applyFill="1" applyBorder="1" applyAlignment="1" applyProtection="1">
      <alignment horizontal="left" vertical="center"/>
      <protection hidden="1"/>
    </xf>
    <xf numFmtId="169" fontId="36" fillId="0" borderId="1" xfId="1" applyNumberFormat="1" applyFont="1" applyFill="1" applyBorder="1" applyAlignment="1" applyProtection="1">
      <alignment horizontal="left" vertical="center"/>
      <protection hidden="1"/>
    </xf>
    <xf numFmtId="166" fontId="28" fillId="0" borderId="2" xfId="0" applyNumberFormat="1" applyFont="1" applyBorder="1" applyAlignment="1" applyProtection="1">
      <alignment horizontal="left"/>
      <protection hidden="1"/>
    </xf>
    <xf numFmtId="166" fontId="7" fillId="3" borderId="10" xfId="0" applyNumberFormat="1" applyFont="1" applyFill="1" applyBorder="1" applyAlignment="1">
      <alignment vertical="center" wrapText="1"/>
    </xf>
    <xf numFmtId="166" fontId="7" fillId="3" borderId="11" xfId="0" applyNumberFormat="1" applyFont="1" applyFill="1" applyBorder="1" applyAlignment="1">
      <alignment vertical="center" wrapText="1"/>
    </xf>
    <xf numFmtId="3" fontId="6" fillId="0" borderId="1" xfId="0" applyNumberFormat="1" applyFont="1" applyBorder="1"/>
    <xf numFmtId="169" fontId="8" fillId="0" borderId="1" xfId="1" applyNumberFormat="1" applyFont="1" applyFill="1" applyBorder="1" applyAlignment="1" applyProtection="1">
      <alignment horizontal="center" vertical="center"/>
    </xf>
    <xf numFmtId="167" fontId="8" fillId="0" borderId="1" xfId="2" applyNumberFormat="1" applyFont="1" applyFill="1" applyBorder="1" applyAlignment="1" applyProtection="1">
      <alignment vertical="center"/>
      <protection hidden="1"/>
    </xf>
    <xf numFmtId="167" fontId="7" fillId="3" borderId="6" xfId="2" applyNumberFormat="1" applyFont="1" applyFill="1" applyBorder="1" applyAlignment="1" applyProtection="1">
      <alignment horizontal="center"/>
    </xf>
    <xf numFmtId="0" fontId="0" fillId="0" borderId="1" xfId="0" applyBorder="1"/>
    <xf numFmtId="169" fontId="0" fillId="0" borderId="1" xfId="0" applyNumberFormat="1" applyBorder="1" applyAlignment="1">
      <alignment horizontal="center" vertical="center"/>
    </xf>
    <xf numFmtId="0" fontId="0" fillId="0" borderId="0" xfId="0" applyAlignment="1" applyProtection="1">
      <alignment horizontal="left"/>
      <protection hidden="1"/>
    </xf>
    <xf numFmtId="167" fontId="32" fillId="0" borderId="0" xfId="2" applyNumberFormat="1" applyFont="1" applyBorder="1" applyProtection="1">
      <protection hidden="1"/>
    </xf>
    <xf numFmtId="169" fontId="0" fillId="0" borderId="0" xfId="0" applyNumberFormat="1" applyAlignment="1" applyProtection="1">
      <alignment horizontal="left"/>
      <protection hidden="1"/>
    </xf>
    <xf numFmtId="166" fontId="7" fillId="3" borderId="4" xfId="0" applyNumberFormat="1" applyFont="1" applyFill="1" applyBorder="1" applyAlignment="1" applyProtection="1">
      <alignment horizontal="right"/>
      <protection hidden="1"/>
    </xf>
    <xf numFmtId="166" fontId="7" fillId="3" borderId="2" xfId="0" applyNumberFormat="1" applyFont="1" applyFill="1" applyBorder="1" applyAlignment="1" applyProtection="1">
      <alignment vertical="center" wrapText="1"/>
      <protection hidden="1"/>
    </xf>
    <xf numFmtId="166" fontId="7" fillId="3" borderId="4" xfId="0" applyNumberFormat="1" applyFont="1" applyFill="1" applyBorder="1" applyAlignment="1" applyProtection="1">
      <alignment vertical="center" wrapText="1"/>
      <protection hidden="1"/>
    </xf>
    <xf numFmtId="169" fontId="8" fillId="4" borderId="1" xfId="1" applyNumberFormat="1" applyFont="1" applyFill="1" applyBorder="1" applyAlignment="1" applyProtection="1">
      <alignment horizontal="center" vertical="center"/>
      <protection locked="0" hidden="1"/>
    </xf>
    <xf numFmtId="169" fontId="39" fillId="4" borderId="1" xfId="1" applyNumberFormat="1" applyFont="1" applyFill="1" applyBorder="1" applyAlignment="1" applyProtection="1">
      <alignment horizontal="center" vertical="center"/>
      <protection locked="0" hidden="1"/>
    </xf>
    <xf numFmtId="165" fontId="40" fillId="3" borderId="1" xfId="2" applyFont="1" applyFill="1" applyBorder="1" applyAlignment="1" applyProtection="1">
      <alignment horizontal="left" vertical="center"/>
      <protection hidden="1"/>
    </xf>
    <xf numFmtId="167" fontId="0" fillId="0" borderId="1" xfId="0" applyNumberFormat="1" applyBorder="1"/>
    <xf numFmtId="0" fontId="3" fillId="0" borderId="1" xfId="0" applyFont="1" applyBorder="1" applyProtection="1">
      <protection hidden="1"/>
    </xf>
    <xf numFmtId="0" fontId="0" fillId="0" borderId="1" xfId="0" applyBorder="1" applyProtection="1">
      <protection hidden="1"/>
    </xf>
    <xf numFmtId="43" fontId="0" fillId="0" borderId="1" xfId="1" applyFont="1" applyBorder="1" applyProtection="1">
      <protection hidden="1"/>
    </xf>
    <xf numFmtId="172" fontId="0" fillId="0" borderId="1" xfId="4" applyNumberFormat="1" applyFont="1" applyBorder="1" applyProtection="1">
      <protection hidden="1"/>
    </xf>
    <xf numFmtId="0" fontId="47" fillId="0" borderId="0" xfId="0" applyFont="1" applyProtection="1">
      <protection hidden="1"/>
    </xf>
    <xf numFmtId="0" fontId="47" fillId="0" borderId="1" xfId="0" applyFont="1" applyBorder="1" applyProtection="1">
      <protection hidden="1"/>
    </xf>
    <xf numFmtId="167" fontId="47" fillId="0" borderId="1" xfId="0" applyNumberFormat="1" applyFont="1" applyBorder="1" applyProtection="1">
      <protection hidden="1"/>
    </xf>
    <xf numFmtId="165" fontId="47" fillId="0" borderId="1" xfId="2" applyFont="1" applyBorder="1" applyProtection="1">
      <protection hidden="1"/>
    </xf>
    <xf numFmtId="166" fontId="44" fillId="3" borderId="22" xfId="0" applyNumberFormat="1" applyFont="1" applyFill="1" applyBorder="1" applyProtection="1">
      <protection hidden="1"/>
    </xf>
    <xf numFmtId="167" fontId="44" fillId="3" borderId="23" xfId="2" applyNumberFormat="1" applyFont="1" applyFill="1" applyBorder="1" applyAlignment="1" applyProtection="1">
      <alignment horizontal="center"/>
      <protection hidden="1"/>
    </xf>
    <xf numFmtId="167" fontId="45" fillId="3" borderId="23" xfId="2" applyNumberFormat="1" applyFont="1" applyFill="1" applyBorder="1" applyAlignment="1" applyProtection="1">
      <alignment horizontal="center"/>
      <protection hidden="1"/>
    </xf>
    <xf numFmtId="166" fontId="7" fillId="3" borderId="5" xfId="0" applyNumberFormat="1" applyFont="1" applyFill="1" applyBorder="1" applyAlignment="1" applyProtection="1">
      <alignment horizontal="center" vertical="center"/>
      <protection hidden="1"/>
    </xf>
    <xf numFmtId="0" fontId="0" fillId="0" borderId="0" xfId="0" applyAlignment="1" applyProtection="1">
      <alignment horizontal="justify" vertical="center"/>
      <protection hidden="1"/>
    </xf>
    <xf numFmtId="0" fontId="0" fillId="0" borderId="0" xfId="0" applyAlignment="1" applyProtection="1">
      <alignment horizontal="justify" vertical="center" wrapText="1"/>
      <protection hidden="1"/>
    </xf>
    <xf numFmtId="0" fontId="42" fillId="0" borderId="1" xfId="0" applyFont="1" applyBorder="1" applyAlignment="1" applyProtection="1">
      <alignment horizontal="justify" vertical="center"/>
      <protection hidden="1"/>
    </xf>
    <xf numFmtId="0" fontId="0" fillId="0" borderId="1" xfId="0" applyBorder="1" applyAlignment="1" applyProtection="1">
      <alignment horizontal="justify" vertical="center" wrapText="1"/>
      <protection hidden="1"/>
    </xf>
    <xf numFmtId="0" fontId="0" fillId="0" borderId="1" xfId="0" applyBorder="1" applyAlignment="1" applyProtection="1">
      <alignment horizontal="justify" vertical="center"/>
      <protection hidden="1"/>
    </xf>
    <xf numFmtId="0" fontId="42" fillId="0" borderId="1" xfId="0" applyFont="1" applyBorder="1" applyAlignment="1" applyProtection="1">
      <alignment vertical="center"/>
      <protection hidden="1"/>
    </xf>
    <xf numFmtId="0" fontId="0" fillId="0" borderId="1" xfId="0" applyBorder="1" applyAlignment="1" applyProtection="1">
      <alignment vertical="center" wrapText="1"/>
      <protection hidden="1"/>
    </xf>
    <xf numFmtId="0" fontId="42" fillId="0" borderId="0" xfId="0" applyFont="1" applyAlignment="1" applyProtection="1">
      <alignment horizontal="justify" vertical="center"/>
      <protection hidden="1"/>
    </xf>
    <xf numFmtId="0" fontId="8" fillId="0" borderId="11" xfId="3" applyNumberFormat="1" applyFont="1" applyFill="1" applyBorder="1" applyAlignment="1" applyProtection="1">
      <alignment horizontal="center"/>
      <protection hidden="1"/>
    </xf>
    <xf numFmtId="0" fontId="8" fillId="0" borderId="1" xfId="3" applyNumberFormat="1" applyFont="1" applyFill="1" applyBorder="1" applyAlignment="1" applyProtection="1">
      <alignment horizontal="center"/>
      <protection hidden="1"/>
    </xf>
    <xf numFmtId="0" fontId="3" fillId="0" borderId="0" xfId="0" applyFont="1" applyProtection="1">
      <protection hidden="1"/>
    </xf>
    <xf numFmtId="0" fontId="55" fillId="0" borderId="15" xfId="0" applyFont="1" applyBorder="1" applyAlignment="1" applyProtection="1">
      <alignment horizontal="center" vertical="center" wrapText="1"/>
      <protection hidden="1"/>
    </xf>
    <xf numFmtId="0" fontId="55" fillId="0" borderId="15" xfId="0" applyFont="1" applyBorder="1" applyAlignment="1" applyProtection="1">
      <alignment horizontal="left" vertical="top" wrapText="1"/>
      <protection hidden="1"/>
    </xf>
    <xf numFmtId="167" fontId="8" fillId="0" borderId="1" xfId="2" applyNumberFormat="1" applyFont="1" applyFill="1" applyBorder="1" applyAlignment="1" applyProtection="1">
      <alignment horizontal="right" vertical="center"/>
      <protection hidden="1"/>
    </xf>
    <xf numFmtId="43" fontId="8" fillId="4" borderId="1" xfId="1" applyFont="1" applyFill="1" applyBorder="1" applyAlignment="1" applyProtection="1">
      <alignment horizontal="center" vertical="center"/>
      <protection locked="0"/>
    </xf>
    <xf numFmtId="166" fontId="7" fillId="3" borderId="6" xfId="0" applyNumberFormat="1" applyFont="1" applyFill="1" applyBorder="1" applyAlignment="1" applyProtection="1">
      <alignment horizontal="center"/>
      <protection hidden="1"/>
    </xf>
    <xf numFmtId="3" fontId="8" fillId="0" borderId="0" xfId="3" applyNumberFormat="1" applyFont="1" applyFill="1" applyBorder="1" applyAlignment="1" applyProtection="1">
      <alignment horizontal="center"/>
      <protection hidden="1"/>
    </xf>
    <xf numFmtId="166" fontId="33" fillId="3" borderId="6" xfId="0" applyNumberFormat="1" applyFont="1" applyFill="1" applyBorder="1" applyAlignment="1" applyProtection="1">
      <alignment horizontal="center" vertical="center" wrapText="1"/>
      <protection hidden="1"/>
    </xf>
    <xf numFmtId="166" fontId="33" fillId="3" borderId="7" xfId="0" applyNumberFormat="1" applyFont="1" applyFill="1" applyBorder="1" applyAlignment="1" applyProtection="1">
      <alignment horizontal="center" vertical="center" wrapText="1"/>
      <protection hidden="1"/>
    </xf>
    <xf numFmtId="0" fontId="0" fillId="0" borderId="0" xfId="0" applyAlignment="1" applyProtection="1">
      <alignment vertical="center"/>
      <protection hidden="1"/>
    </xf>
    <xf numFmtId="0" fontId="57" fillId="0" borderId="0" xfId="0" applyFont="1" applyProtection="1">
      <protection hidden="1"/>
    </xf>
    <xf numFmtId="3" fontId="8" fillId="4" borderId="1" xfId="3" applyNumberFormat="1" applyFont="1" applyFill="1" applyBorder="1" applyAlignment="1" applyProtection="1">
      <alignment horizontal="center"/>
      <protection locked="0" hidden="1"/>
    </xf>
    <xf numFmtId="167" fontId="8" fillId="4" borderId="1" xfId="2" applyNumberFormat="1" applyFont="1" applyFill="1" applyBorder="1" applyAlignment="1" applyProtection="1">
      <alignment horizontal="center"/>
      <protection locked="0" hidden="1"/>
    </xf>
    <xf numFmtId="167" fontId="36" fillId="4" borderId="1" xfId="2" applyNumberFormat="1" applyFont="1" applyFill="1" applyBorder="1" applyAlignment="1" applyProtection="1">
      <alignment horizontal="center"/>
      <protection locked="0" hidden="1"/>
    </xf>
    <xf numFmtId="167" fontId="36" fillId="4" borderId="2" xfId="2" applyNumberFormat="1" applyFont="1" applyFill="1" applyBorder="1" applyAlignment="1" applyProtection="1">
      <alignment horizontal="center"/>
      <protection locked="0" hidden="1"/>
    </xf>
    <xf numFmtId="0" fontId="4" fillId="0" borderId="0" xfId="0" applyFont="1" applyAlignment="1" applyProtection="1">
      <alignment horizontal="center"/>
      <protection hidden="1"/>
    </xf>
    <xf numFmtId="166" fontId="7" fillId="3" borderId="23" xfId="0" applyNumberFormat="1" applyFont="1" applyFill="1" applyBorder="1" applyAlignment="1" applyProtection="1">
      <alignment horizontal="center"/>
      <protection hidden="1"/>
    </xf>
    <xf numFmtId="166" fontId="7" fillId="3" borderId="5" xfId="0" applyNumberFormat="1" applyFont="1" applyFill="1" applyBorder="1" applyAlignment="1" applyProtection="1">
      <alignment horizontal="right"/>
      <protection hidden="1"/>
    </xf>
    <xf numFmtId="0" fontId="8" fillId="4" borderId="1" xfId="3" applyNumberFormat="1" applyFont="1" applyFill="1" applyBorder="1" applyAlignment="1" applyProtection="1">
      <alignment horizontal="center"/>
      <protection locked="0" hidden="1"/>
    </xf>
    <xf numFmtId="0" fontId="58" fillId="0" borderId="0" xfId="5" applyFont="1" applyProtection="1">
      <protection hidden="1"/>
    </xf>
    <xf numFmtId="3" fontId="60" fillId="0" borderId="0" xfId="6" applyNumberFormat="1" applyFont="1" applyFill="1" applyBorder="1" applyAlignment="1" applyProtection="1">
      <alignment horizontal="center" vertical="center"/>
      <protection hidden="1"/>
    </xf>
    <xf numFmtId="3" fontId="60" fillId="0" borderId="0" xfId="6" applyNumberFormat="1" applyFont="1" applyBorder="1" applyAlignment="1" applyProtection="1">
      <alignment horizontal="center"/>
      <protection hidden="1"/>
    </xf>
    <xf numFmtId="3" fontId="58" fillId="0" borderId="0" xfId="6" applyNumberFormat="1" applyFont="1" applyFill="1" applyBorder="1" applyProtection="1">
      <protection hidden="1"/>
    </xf>
    <xf numFmtId="0" fontId="60" fillId="0" borderId="0" xfId="5" applyFont="1" applyProtection="1">
      <protection hidden="1"/>
    </xf>
    <xf numFmtId="9" fontId="58" fillId="0" borderId="32" xfId="7" applyFont="1" applyFill="1" applyBorder="1" applyAlignment="1" applyProtection="1">
      <alignment horizontal="center"/>
      <protection hidden="1"/>
    </xf>
    <xf numFmtId="175" fontId="58" fillId="0" borderId="31" xfId="6" applyNumberFormat="1" applyFont="1" applyFill="1" applyBorder="1" applyProtection="1">
      <protection hidden="1"/>
    </xf>
    <xf numFmtId="175" fontId="58" fillId="0" borderId="33" xfId="6" applyNumberFormat="1" applyFont="1" applyFill="1" applyBorder="1" applyProtection="1">
      <protection hidden="1"/>
    </xf>
    <xf numFmtId="176" fontId="58" fillId="0" borderId="32" xfId="6" applyNumberFormat="1" applyFont="1" applyFill="1" applyBorder="1" applyAlignment="1" applyProtection="1">
      <protection hidden="1"/>
    </xf>
    <xf numFmtId="38" fontId="5" fillId="0" borderId="36" xfId="6" applyNumberFormat="1" applyFont="1" applyFill="1" applyBorder="1" applyAlignment="1" applyProtection="1">
      <protection hidden="1"/>
    </xf>
    <xf numFmtId="0" fontId="60" fillId="0" borderId="0" xfId="5" applyFont="1" applyAlignment="1" applyProtection="1">
      <alignment horizontal="center"/>
      <protection hidden="1"/>
    </xf>
    <xf numFmtId="0" fontId="62" fillId="0" borderId="0" xfId="5" applyFont="1" applyProtection="1">
      <protection hidden="1"/>
    </xf>
    <xf numFmtId="0" fontId="60" fillId="0" borderId="38" xfId="5" applyFont="1" applyBorder="1" applyAlignment="1" applyProtection="1">
      <alignment horizontal="center"/>
      <protection hidden="1"/>
    </xf>
    <xf numFmtId="0" fontId="60" fillId="0" borderId="39" xfId="5" applyFont="1" applyBorder="1" applyAlignment="1" applyProtection="1">
      <alignment horizontal="center"/>
      <protection hidden="1"/>
    </xf>
    <xf numFmtId="176" fontId="58" fillId="0" borderId="41" xfId="6" applyNumberFormat="1" applyFont="1" applyFill="1" applyBorder="1" applyProtection="1">
      <protection hidden="1"/>
    </xf>
    <xf numFmtId="176" fontId="58" fillId="0" borderId="1" xfId="6" applyNumberFormat="1" applyFont="1" applyFill="1" applyBorder="1" applyProtection="1">
      <protection hidden="1"/>
    </xf>
    <xf numFmtId="176" fontId="58" fillId="0" borderId="1" xfId="5" applyNumberFormat="1" applyFont="1" applyBorder="1" applyProtection="1">
      <protection hidden="1"/>
    </xf>
    <xf numFmtId="176" fontId="58" fillId="0" borderId="43" xfId="6" applyNumberFormat="1" applyFont="1" applyFill="1" applyBorder="1" applyProtection="1">
      <protection hidden="1"/>
    </xf>
    <xf numFmtId="176" fontId="58" fillId="0" borderId="0" xfId="5" applyNumberFormat="1" applyFont="1" applyProtection="1">
      <protection hidden="1"/>
    </xf>
    <xf numFmtId="3" fontId="60" fillId="0" borderId="28" xfId="5" applyNumberFormat="1" applyFont="1" applyBorder="1" applyAlignment="1" applyProtection="1">
      <alignment horizontal="center" vertical="center" wrapText="1"/>
      <protection hidden="1"/>
    </xf>
    <xf numFmtId="3" fontId="60" fillId="0" borderId="30" xfId="5" applyNumberFormat="1" applyFont="1" applyBorder="1" applyAlignment="1" applyProtection="1">
      <alignment horizontal="center" vertical="center" wrapText="1"/>
      <protection hidden="1"/>
    </xf>
    <xf numFmtId="3" fontId="60" fillId="0" borderId="26" xfId="5" applyNumberFormat="1" applyFont="1" applyBorder="1" applyAlignment="1" applyProtection="1">
      <alignment horizontal="center" vertical="center" wrapText="1"/>
      <protection hidden="1"/>
    </xf>
    <xf numFmtId="175" fontId="58" fillId="11" borderId="33" xfId="6" applyNumberFormat="1" applyFont="1" applyFill="1" applyBorder="1" applyProtection="1">
      <protection hidden="1"/>
    </xf>
    <xf numFmtId="176" fontId="60" fillId="0" borderId="26" xfId="6" applyNumberFormat="1" applyFont="1" applyFill="1" applyBorder="1" applyAlignment="1" applyProtection="1">
      <protection hidden="1"/>
    </xf>
    <xf numFmtId="169" fontId="8" fillId="4" borderId="1" xfId="1" applyNumberFormat="1" applyFont="1" applyFill="1" applyBorder="1" applyAlignment="1" applyProtection="1">
      <alignment vertical="center"/>
      <protection locked="0" hidden="1"/>
    </xf>
    <xf numFmtId="165" fontId="0" fillId="0" borderId="0" xfId="2" applyFont="1" applyProtection="1">
      <protection hidden="1"/>
    </xf>
    <xf numFmtId="166" fontId="7" fillId="3" borderId="4" xfId="0" applyNumberFormat="1" applyFont="1" applyFill="1" applyBorder="1" applyAlignment="1" applyProtection="1">
      <alignment horizontal="center"/>
      <protection hidden="1"/>
    </xf>
    <xf numFmtId="166" fontId="7" fillId="3" borderId="4" xfId="0" applyNumberFormat="1" applyFont="1" applyFill="1" applyBorder="1" applyAlignment="1" applyProtection="1">
      <alignment horizontal="left"/>
      <protection hidden="1"/>
    </xf>
    <xf numFmtId="167" fontId="0" fillId="0" borderId="0" xfId="2" applyNumberFormat="1" applyFont="1" applyProtection="1">
      <protection hidden="1"/>
    </xf>
    <xf numFmtId="167" fontId="0" fillId="0" borderId="0" xfId="2" applyNumberFormat="1" applyFont="1" applyAlignment="1" applyProtection="1">
      <alignment horizontal="right"/>
      <protection hidden="1"/>
    </xf>
    <xf numFmtId="167" fontId="3" fillId="0" borderId="0" xfId="2" applyNumberFormat="1" applyFont="1" applyAlignment="1" applyProtection="1">
      <alignment horizontal="right"/>
      <protection hidden="1"/>
    </xf>
    <xf numFmtId="164" fontId="3" fillId="9" borderId="1" xfId="2" applyNumberFormat="1" applyFont="1" applyFill="1" applyBorder="1" applyProtection="1">
      <protection hidden="1"/>
    </xf>
    <xf numFmtId="167" fontId="3" fillId="0" borderId="1" xfId="2" applyNumberFormat="1" applyFont="1" applyBorder="1" applyAlignment="1" applyProtection="1">
      <alignment horizontal="right"/>
      <protection hidden="1"/>
    </xf>
    <xf numFmtId="167" fontId="3" fillId="0" borderId="1" xfId="2" applyNumberFormat="1" applyFont="1" applyBorder="1" applyAlignment="1" applyProtection="1">
      <alignment horizontal="right" vertical="center"/>
      <protection hidden="1"/>
    </xf>
    <xf numFmtId="164" fontId="3" fillId="0" borderId="1" xfId="2" applyNumberFormat="1" applyFont="1" applyBorder="1" applyAlignment="1" applyProtection="1">
      <alignment horizontal="right" vertical="center"/>
      <protection hidden="1"/>
    </xf>
    <xf numFmtId="10" fontId="3" fillId="0" borderId="1" xfId="4" applyNumberFormat="1" applyFont="1" applyBorder="1" applyAlignment="1" applyProtection="1">
      <alignment horizontal="right" vertical="center"/>
      <protection hidden="1"/>
    </xf>
    <xf numFmtId="164" fontId="0" fillId="0" borderId="0" xfId="2" applyNumberFormat="1" applyFont="1" applyProtection="1">
      <protection hidden="1"/>
    </xf>
    <xf numFmtId="43" fontId="0" fillId="0" borderId="0" xfId="1" applyFont="1" applyProtection="1">
      <protection hidden="1"/>
    </xf>
    <xf numFmtId="14" fontId="0" fillId="0" borderId="0" xfId="2" applyNumberFormat="1" applyFont="1" applyProtection="1">
      <protection hidden="1"/>
    </xf>
    <xf numFmtId="167" fontId="3" fillId="9" borderId="1" xfId="2" applyNumberFormat="1" applyFont="1" applyFill="1" applyBorder="1" applyProtection="1">
      <protection hidden="1"/>
    </xf>
    <xf numFmtId="167" fontId="66" fillId="0" borderId="1" xfId="2" applyNumberFormat="1" applyFont="1" applyBorder="1" applyProtection="1">
      <protection hidden="1"/>
    </xf>
    <xf numFmtId="166" fontId="7" fillId="3" borderId="13" xfId="0" applyNumberFormat="1" applyFont="1" applyFill="1" applyBorder="1" applyProtection="1">
      <protection hidden="1"/>
    </xf>
    <xf numFmtId="0" fontId="58" fillId="0" borderId="0" xfId="5" applyFont="1" applyAlignment="1" applyProtection="1">
      <alignment horizontal="right"/>
      <protection hidden="1"/>
    </xf>
    <xf numFmtId="9" fontId="0" fillId="0" borderId="0" xfId="2" applyNumberFormat="1" applyFont="1" applyProtection="1">
      <protection hidden="1"/>
    </xf>
    <xf numFmtId="168" fontId="41" fillId="12" borderId="0" xfId="3" applyFont="1" applyFill="1" applyBorder="1" applyAlignment="1" applyProtection="1">
      <alignment horizontal="center"/>
      <protection hidden="1"/>
    </xf>
    <xf numFmtId="166" fontId="7" fillId="3" borderId="9" xfId="0" applyNumberFormat="1" applyFont="1" applyFill="1" applyBorder="1" applyAlignment="1" applyProtection="1">
      <alignment horizontal="center"/>
      <protection hidden="1"/>
    </xf>
    <xf numFmtId="168" fontId="6" fillId="0" borderId="2" xfId="3" applyFont="1" applyBorder="1" applyAlignment="1" applyProtection="1">
      <alignment horizontal="left" indent="1"/>
      <protection hidden="1"/>
    </xf>
    <xf numFmtId="168" fontId="6" fillId="0" borderId="2" xfId="3" quotePrefix="1" applyBorder="1" applyAlignment="1" applyProtection="1">
      <alignment horizontal="left" indent="1"/>
      <protection hidden="1"/>
    </xf>
    <xf numFmtId="168" fontId="6" fillId="0" borderId="2" xfId="3" applyBorder="1" applyAlignment="1" applyProtection="1">
      <alignment horizontal="left" indent="1"/>
      <protection hidden="1"/>
    </xf>
    <xf numFmtId="168" fontId="5" fillId="0" borderId="2" xfId="3" applyFont="1" applyBorder="1" applyProtection="1">
      <protection hidden="1"/>
    </xf>
    <xf numFmtId="164" fontId="5" fillId="0" borderId="1" xfId="2" applyNumberFormat="1" applyFont="1" applyBorder="1" applyAlignment="1" applyProtection="1">
      <alignment horizontal="right"/>
      <protection hidden="1"/>
    </xf>
    <xf numFmtId="168" fontId="5" fillId="0" borderId="2" xfId="3" quotePrefix="1" applyFont="1" applyBorder="1" applyAlignment="1" applyProtection="1">
      <alignment horizontal="left"/>
      <protection hidden="1"/>
    </xf>
    <xf numFmtId="168" fontId="5" fillId="0" borderId="1" xfId="3" applyFont="1" applyBorder="1" applyProtection="1">
      <protection hidden="1"/>
    </xf>
    <xf numFmtId="168" fontId="6" fillId="0" borderId="1" xfId="3" quotePrefix="1" applyFont="1" applyBorder="1" applyAlignment="1" applyProtection="1">
      <alignment horizontal="left"/>
      <protection hidden="1"/>
    </xf>
    <xf numFmtId="168" fontId="6" fillId="0" borderId="1" xfId="3" quotePrefix="1" applyBorder="1" applyAlignment="1" applyProtection="1">
      <alignment horizontal="left"/>
      <protection hidden="1"/>
    </xf>
    <xf numFmtId="168" fontId="5" fillId="0" borderId="1" xfId="3" applyFont="1" applyBorder="1" applyAlignment="1" applyProtection="1">
      <alignment horizontal="left"/>
      <protection hidden="1"/>
    </xf>
    <xf numFmtId="168" fontId="41" fillId="12" borderId="1" xfId="3" applyFont="1" applyFill="1" applyBorder="1" applyAlignment="1" applyProtection="1">
      <alignment horizontal="center"/>
      <protection hidden="1"/>
    </xf>
    <xf numFmtId="168" fontId="6" fillId="0" borderId="1" xfId="3" applyFont="1" applyBorder="1" applyAlignment="1" applyProtection="1">
      <alignment horizontal="left" indent="1"/>
      <protection hidden="1"/>
    </xf>
    <xf numFmtId="168" fontId="5" fillId="0" borderId="1" xfId="3" quotePrefix="1" applyFont="1" applyBorder="1" applyAlignment="1" applyProtection="1">
      <alignment horizontal="left"/>
      <protection hidden="1"/>
    </xf>
    <xf numFmtId="38" fontId="5" fillId="0" borderId="1" xfId="3" applyNumberFormat="1" applyFont="1" applyBorder="1" applyAlignment="1" applyProtection="1">
      <alignment horizontal="left"/>
      <protection hidden="1"/>
    </xf>
    <xf numFmtId="10" fontId="38" fillId="4" borderId="1" xfId="4" applyNumberFormat="1" applyFont="1" applyFill="1" applyBorder="1" applyAlignment="1" applyProtection="1">
      <alignment horizontal="right" vertical="center"/>
      <protection hidden="1"/>
    </xf>
    <xf numFmtId="169" fontId="0" fillId="0" borderId="0" xfId="1" applyNumberFormat="1" applyFont="1" applyProtection="1">
      <protection hidden="1"/>
    </xf>
    <xf numFmtId="38" fontId="0" fillId="0" borderId="0" xfId="2" applyNumberFormat="1" applyFont="1" applyProtection="1">
      <protection hidden="1"/>
    </xf>
    <xf numFmtId="38" fontId="0" fillId="0" borderId="0" xfId="0" applyNumberFormat="1" applyProtection="1">
      <protection hidden="1"/>
    </xf>
    <xf numFmtId="164" fontId="6" fillId="0" borderId="1" xfId="2" applyNumberFormat="1" applyFont="1" applyBorder="1" applyAlignment="1" applyProtection="1">
      <alignment horizontal="right"/>
      <protection hidden="1"/>
    </xf>
    <xf numFmtId="164" fontId="6" fillId="0" borderId="1" xfId="2" applyNumberFormat="1" applyFont="1" applyFill="1" applyBorder="1" applyAlignment="1" applyProtection="1">
      <alignment horizontal="right"/>
      <protection hidden="1"/>
    </xf>
    <xf numFmtId="0" fontId="68" fillId="0" borderId="0" xfId="0" applyFont="1" applyProtection="1">
      <protection hidden="1"/>
    </xf>
    <xf numFmtId="167" fontId="68" fillId="0" borderId="0" xfId="2" applyNumberFormat="1" applyFont="1" applyBorder="1" applyProtection="1">
      <protection hidden="1"/>
    </xf>
    <xf numFmtId="0" fontId="68" fillId="0" borderId="1" xfId="0" applyFont="1" applyBorder="1" applyProtection="1">
      <protection hidden="1"/>
    </xf>
    <xf numFmtId="167" fontId="68" fillId="0" borderId="1" xfId="2" applyNumberFormat="1" applyFont="1" applyBorder="1" applyProtection="1">
      <protection hidden="1"/>
    </xf>
    <xf numFmtId="168" fontId="7" fillId="12" borderId="1" xfId="3" applyFont="1" applyFill="1" applyBorder="1" applyAlignment="1" applyProtection="1">
      <alignment vertical="center"/>
      <protection hidden="1"/>
    </xf>
    <xf numFmtId="167" fontId="69" fillId="0" borderId="1" xfId="2" applyNumberFormat="1" applyFont="1" applyBorder="1" applyProtection="1">
      <protection hidden="1"/>
    </xf>
    <xf numFmtId="0" fontId="69" fillId="0" borderId="0" xfId="0" applyFont="1" applyProtection="1">
      <protection hidden="1"/>
    </xf>
    <xf numFmtId="0" fontId="69" fillId="0" borderId="1" xfId="0" applyFont="1" applyBorder="1" applyProtection="1">
      <protection hidden="1"/>
    </xf>
    <xf numFmtId="167" fontId="69" fillId="10" borderId="1" xfId="2" applyNumberFormat="1" applyFont="1" applyFill="1" applyBorder="1" applyProtection="1">
      <protection hidden="1"/>
    </xf>
    <xf numFmtId="164" fontId="0" fillId="0" borderId="1" xfId="0" applyNumberFormat="1" applyBorder="1" applyProtection="1">
      <protection hidden="1"/>
    </xf>
    <xf numFmtId="0" fontId="20" fillId="0" borderId="0" xfId="0" applyFont="1" applyAlignment="1" applyProtection="1">
      <alignment horizontal="center" vertical="center" wrapText="1"/>
      <protection hidden="1"/>
    </xf>
    <xf numFmtId="0" fontId="20" fillId="0" borderId="0" xfId="0" applyFont="1" applyAlignment="1" applyProtection="1">
      <alignment horizontal="right" vertical="center" wrapText="1"/>
      <protection hidden="1"/>
    </xf>
    <xf numFmtId="166" fontId="7" fillId="3" borderId="6" xfId="0" applyNumberFormat="1" applyFont="1" applyFill="1" applyBorder="1" applyAlignment="1" applyProtection="1">
      <alignment horizontal="center" wrapText="1"/>
      <protection hidden="1"/>
    </xf>
    <xf numFmtId="167" fontId="8" fillId="0" borderId="1" xfId="2" applyNumberFormat="1" applyFont="1" applyFill="1" applyBorder="1" applyAlignment="1" applyProtection="1">
      <alignment horizontal="center"/>
      <protection hidden="1"/>
    </xf>
    <xf numFmtId="167" fontId="7" fillId="3" borderId="21" xfId="2" applyNumberFormat="1" applyFont="1" applyFill="1" applyBorder="1" applyAlignment="1" applyProtection="1">
      <alignment horizontal="center"/>
      <protection hidden="1"/>
    </xf>
    <xf numFmtId="0" fontId="31" fillId="0" borderId="0" xfId="0" applyFont="1" applyAlignment="1" applyProtection="1">
      <alignment horizontal="center" vertical="center" wrapText="1"/>
      <protection hidden="1"/>
    </xf>
    <xf numFmtId="167" fontId="8" fillId="4" borderId="0" xfId="2" applyNumberFormat="1" applyFont="1" applyFill="1" applyBorder="1" applyAlignment="1" applyProtection="1">
      <alignment horizontal="center" vertical="center"/>
      <protection hidden="1"/>
    </xf>
    <xf numFmtId="0" fontId="3" fillId="0" borderId="0" xfId="0" applyFont="1" applyAlignment="1" applyProtection="1">
      <alignment horizontal="right"/>
      <protection hidden="1"/>
    </xf>
    <xf numFmtId="164" fontId="70" fillId="0" borderId="1" xfId="2" applyNumberFormat="1" applyFont="1" applyBorder="1" applyProtection="1">
      <protection hidden="1"/>
    </xf>
    <xf numFmtId="0" fontId="70" fillId="0" borderId="0" xfId="0" applyFont="1" applyProtection="1">
      <protection hidden="1"/>
    </xf>
    <xf numFmtId="168" fontId="6" fillId="0" borderId="1" xfId="3" quotePrefix="1" applyFont="1" applyBorder="1" applyAlignment="1" applyProtection="1">
      <alignment horizontal="left" indent="1"/>
      <protection hidden="1"/>
    </xf>
    <xf numFmtId="0" fontId="56" fillId="0" borderId="0" xfId="0" applyFont="1" applyProtection="1">
      <protection hidden="1"/>
    </xf>
    <xf numFmtId="164" fontId="71" fillId="0" borderId="1" xfId="2" applyNumberFormat="1" applyFont="1" applyBorder="1" applyProtection="1">
      <protection hidden="1"/>
    </xf>
    <xf numFmtId="164" fontId="72" fillId="0" borderId="0" xfId="0" applyNumberFormat="1" applyFont="1" applyProtection="1">
      <protection hidden="1"/>
    </xf>
    <xf numFmtId="167" fontId="0" fillId="0" borderId="2" xfId="2" applyNumberFormat="1" applyFont="1" applyBorder="1" applyProtection="1">
      <protection hidden="1"/>
    </xf>
    <xf numFmtId="167" fontId="7" fillId="3" borderId="50" xfId="2" applyNumberFormat="1" applyFont="1" applyFill="1" applyBorder="1" applyAlignment="1" applyProtection="1">
      <alignment horizontal="center"/>
      <protection hidden="1"/>
    </xf>
    <xf numFmtId="3" fontId="73" fillId="6" borderId="1" xfId="3" applyNumberFormat="1" applyFont="1" applyFill="1" applyBorder="1" applyAlignment="1" applyProtection="1">
      <alignment horizontal="right"/>
      <protection hidden="1"/>
    </xf>
    <xf numFmtId="3" fontId="74" fillId="0" borderId="1" xfId="0" applyNumberFormat="1" applyFont="1" applyBorder="1" applyAlignment="1" applyProtection="1">
      <alignment horizontal="right"/>
      <protection hidden="1"/>
    </xf>
    <xf numFmtId="166" fontId="33" fillId="3" borderId="1" xfId="0" applyNumberFormat="1" applyFont="1" applyFill="1" applyBorder="1" applyProtection="1">
      <protection hidden="1"/>
    </xf>
    <xf numFmtId="166" fontId="33" fillId="3" borderId="1" xfId="0" applyNumberFormat="1" applyFont="1" applyFill="1" applyBorder="1" applyAlignment="1" applyProtection="1">
      <alignment horizontal="center"/>
      <protection hidden="1"/>
    </xf>
    <xf numFmtId="167" fontId="74" fillId="0" borderId="1" xfId="0" applyNumberFormat="1" applyFont="1" applyBorder="1" applyProtection="1">
      <protection hidden="1"/>
    </xf>
    <xf numFmtId="167" fontId="77" fillId="0" borderId="1" xfId="2" applyNumberFormat="1" applyFont="1" applyBorder="1" applyProtection="1">
      <protection hidden="1"/>
    </xf>
    <xf numFmtId="10" fontId="77" fillId="0" borderId="1" xfId="4" applyNumberFormat="1" applyFont="1" applyBorder="1" applyProtection="1">
      <protection hidden="1"/>
    </xf>
    <xf numFmtId="167" fontId="33" fillId="3" borderId="1" xfId="2" applyNumberFormat="1" applyFont="1" applyFill="1" applyBorder="1" applyAlignment="1" applyProtection="1">
      <alignment horizontal="center"/>
      <protection hidden="1"/>
    </xf>
    <xf numFmtId="3" fontId="22" fillId="6" borderId="1" xfId="3" applyNumberFormat="1" applyFont="1" applyFill="1" applyBorder="1" applyAlignment="1" applyProtection="1">
      <alignment horizontal="right" vertical="center" wrapText="1"/>
      <protection hidden="1"/>
    </xf>
    <xf numFmtId="3" fontId="22" fillId="13" borderId="1" xfId="3" applyNumberFormat="1" applyFont="1" applyFill="1" applyBorder="1" applyAlignment="1" applyProtection="1">
      <alignment horizontal="right" vertical="center"/>
      <protection hidden="1"/>
    </xf>
    <xf numFmtId="3" fontId="22" fillId="13" borderId="1" xfId="3" applyNumberFormat="1" applyFont="1" applyFill="1" applyBorder="1" applyAlignment="1" applyProtection="1">
      <alignment horizontal="right" vertical="center" wrapText="1"/>
      <protection hidden="1"/>
    </xf>
    <xf numFmtId="167" fontId="78" fillId="13" borderId="1" xfId="2" applyNumberFormat="1" applyFont="1" applyFill="1" applyBorder="1" applyAlignment="1" applyProtection="1">
      <alignment vertical="center"/>
      <protection hidden="1"/>
    </xf>
    <xf numFmtId="0" fontId="74" fillId="0" borderId="0" xfId="0" applyFont="1" applyProtection="1">
      <protection hidden="1"/>
    </xf>
    <xf numFmtId="0" fontId="75" fillId="0" borderId="0" xfId="0" applyFont="1" applyAlignment="1" applyProtection="1">
      <alignment vertical="center"/>
      <protection hidden="1"/>
    </xf>
    <xf numFmtId="0" fontId="74" fillId="0" borderId="0" xfId="0" applyFont="1" applyAlignment="1" applyProtection="1">
      <alignment vertical="center"/>
      <protection hidden="1"/>
    </xf>
    <xf numFmtId="0" fontId="74" fillId="0" borderId="1" xfId="0" applyFont="1" applyBorder="1" applyProtection="1">
      <protection hidden="1"/>
    </xf>
    <xf numFmtId="0" fontId="54" fillId="0" borderId="0" xfId="0" applyFont="1"/>
    <xf numFmtId="0" fontId="4" fillId="0" borderId="0" xfId="0" applyFont="1"/>
    <xf numFmtId="0" fontId="32" fillId="0" borderId="0" xfId="0" applyFont="1" applyProtection="1">
      <protection hidden="1"/>
    </xf>
    <xf numFmtId="0" fontId="37" fillId="0" borderId="0" xfId="0" applyFont="1" applyAlignment="1">
      <alignment horizontal="center" vertical="center" wrapText="1"/>
    </xf>
    <xf numFmtId="0" fontId="37" fillId="0" borderId="0" xfId="0" applyFont="1" applyAlignment="1">
      <alignment horizontal="center" vertical="center"/>
    </xf>
    <xf numFmtId="0" fontId="32" fillId="0" borderId="0" xfId="0" applyFont="1"/>
    <xf numFmtId="167" fontId="7" fillId="3" borderId="21" xfId="2" applyNumberFormat="1" applyFont="1" applyFill="1" applyBorder="1" applyAlignment="1" applyProtection="1">
      <alignment horizontal="center" wrapText="1"/>
      <protection hidden="1"/>
    </xf>
    <xf numFmtId="14" fontId="32" fillId="0" borderId="0" xfId="0" applyNumberFormat="1" applyFont="1"/>
    <xf numFmtId="0" fontId="4" fillId="6" borderId="0" xfId="0" applyFont="1" applyFill="1" applyProtection="1">
      <protection hidden="1"/>
    </xf>
    <xf numFmtId="0" fontId="17" fillId="0" borderId="0" xfId="0" applyFont="1" applyAlignment="1">
      <alignment horizontal="center" vertical="center" wrapText="1"/>
    </xf>
    <xf numFmtId="0" fontId="19" fillId="0" borderId="0" xfId="0" applyFont="1" applyAlignment="1">
      <alignment horizontal="left" vertical="top" wrapText="1"/>
    </xf>
    <xf numFmtId="0" fontId="17" fillId="0" borderId="0" xfId="0" applyFont="1"/>
    <xf numFmtId="3" fontId="82" fillId="4" borderId="1" xfId="8" applyNumberFormat="1" applyFill="1" applyBorder="1" applyAlignment="1" applyProtection="1">
      <alignment horizontal="center"/>
      <protection locked="0" hidden="1"/>
    </xf>
    <xf numFmtId="0" fontId="0" fillId="0" borderId="0" xfId="0" applyProtection="1">
      <protection locked="0" hidden="1"/>
    </xf>
    <xf numFmtId="3" fontId="5" fillId="5" borderId="8" xfId="0" applyNumberFormat="1" applyFont="1" applyFill="1" applyBorder="1" applyAlignment="1" applyProtection="1">
      <alignment horizontal="left"/>
      <protection hidden="1"/>
    </xf>
    <xf numFmtId="0" fontId="56" fillId="14" borderId="1" xfId="0" applyFont="1" applyFill="1" applyBorder="1" applyAlignment="1" applyProtection="1">
      <alignment horizontal="center" vertical="center" wrapText="1"/>
      <protection hidden="1"/>
    </xf>
    <xf numFmtId="0" fontId="0" fillId="0" borderId="0" xfId="0" applyAlignment="1" applyProtection="1">
      <alignment horizontal="left"/>
      <protection hidden="1"/>
    </xf>
    <xf numFmtId="3" fontId="52" fillId="0" borderId="1" xfId="3" applyNumberFormat="1" applyFont="1" applyFill="1" applyBorder="1" applyAlignment="1" applyProtection="1">
      <alignment horizontal="center" vertical="center"/>
      <protection hidden="1"/>
    </xf>
    <xf numFmtId="0" fontId="10" fillId="0" borderId="2" xfId="0" applyFont="1" applyBorder="1" applyAlignment="1" applyProtection="1">
      <alignment horizontal="right"/>
      <protection hidden="1"/>
    </xf>
    <xf numFmtId="0" fontId="10" fillId="0" borderId="3" xfId="0" applyFont="1" applyBorder="1" applyAlignment="1" applyProtection="1">
      <alignment horizontal="right"/>
      <protection hidden="1"/>
    </xf>
    <xf numFmtId="0" fontId="10" fillId="0" borderId="4" xfId="0" applyFont="1" applyBorder="1" applyAlignment="1" applyProtection="1">
      <alignment horizontal="right"/>
      <protection hidden="1"/>
    </xf>
    <xf numFmtId="166" fontId="7" fillId="3" borderId="13" xfId="0" applyNumberFormat="1" applyFont="1" applyFill="1" applyBorder="1" applyAlignment="1" applyProtection="1">
      <alignment horizontal="center" vertical="center" wrapText="1"/>
      <protection hidden="1"/>
    </xf>
    <xf numFmtId="166" fontId="7" fillId="3" borderId="16" xfId="0" applyNumberFormat="1" applyFont="1" applyFill="1" applyBorder="1" applyAlignment="1" applyProtection="1">
      <alignment horizontal="center" vertical="center" wrapText="1"/>
      <protection hidden="1"/>
    </xf>
    <xf numFmtId="166" fontId="7" fillId="3" borderId="10" xfId="0" applyNumberFormat="1" applyFont="1" applyFill="1" applyBorder="1" applyAlignment="1" applyProtection="1">
      <alignment horizontal="center" vertical="center" wrapText="1"/>
      <protection hidden="1"/>
    </xf>
    <xf numFmtId="166" fontId="7" fillId="3" borderId="11" xfId="0" applyNumberFormat="1" applyFont="1" applyFill="1" applyBorder="1" applyAlignment="1" applyProtection="1">
      <alignment horizontal="center" vertical="center" wrapText="1"/>
      <protection hidden="1"/>
    </xf>
    <xf numFmtId="0" fontId="0" fillId="0" borderId="0" xfId="0" applyAlignment="1" applyProtection="1">
      <alignment horizontal="center"/>
      <protection hidden="1"/>
    </xf>
    <xf numFmtId="166" fontId="7" fillId="3" borderId="12" xfId="0" applyNumberFormat="1" applyFont="1" applyFill="1" applyBorder="1" applyAlignment="1" applyProtection="1">
      <alignment horizontal="center" vertical="center" wrapText="1"/>
      <protection hidden="1"/>
    </xf>
    <xf numFmtId="166" fontId="7" fillId="3" borderId="14" xfId="0" applyNumberFormat="1" applyFont="1" applyFill="1" applyBorder="1" applyAlignment="1" applyProtection="1">
      <alignment horizontal="center" vertical="center" wrapText="1"/>
      <protection hidden="1"/>
    </xf>
    <xf numFmtId="166" fontId="7" fillId="3" borderId="8" xfId="0" applyNumberFormat="1" applyFont="1" applyFill="1" applyBorder="1" applyAlignment="1" applyProtection="1">
      <alignment horizontal="center" vertical="center" wrapText="1"/>
      <protection hidden="1"/>
    </xf>
    <xf numFmtId="166" fontId="7" fillId="3" borderId="5" xfId="0" applyNumberFormat="1" applyFont="1" applyFill="1" applyBorder="1" applyAlignment="1" applyProtection="1">
      <alignment horizontal="right"/>
      <protection hidden="1"/>
    </xf>
    <xf numFmtId="166" fontId="7" fillId="3" borderId="18" xfId="0" applyNumberFormat="1" applyFont="1" applyFill="1" applyBorder="1" applyAlignment="1" applyProtection="1">
      <alignment horizontal="right"/>
      <protection hidden="1"/>
    </xf>
    <xf numFmtId="3" fontId="12" fillId="4" borderId="1" xfId="3" applyNumberFormat="1" applyFont="1" applyFill="1" applyBorder="1" applyAlignment="1" applyProtection="1">
      <alignment horizontal="center" vertical="center"/>
      <protection hidden="1"/>
    </xf>
    <xf numFmtId="3" fontId="8" fillId="4" borderId="1" xfId="3" applyNumberFormat="1" applyFont="1" applyFill="1" applyBorder="1" applyAlignment="1" applyProtection="1">
      <alignment horizontal="center" vertical="center"/>
      <protection locked="0" hidden="1"/>
    </xf>
    <xf numFmtId="14" fontId="38" fillId="4" borderId="2" xfId="3" applyNumberFormat="1" applyFont="1" applyFill="1" applyBorder="1" applyAlignment="1" applyProtection="1">
      <alignment horizontal="center" vertical="center"/>
      <protection locked="0" hidden="1"/>
    </xf>
    <xf numFmtId="14" fontId="38" fillId="4" borderId="4" xfId="3" applyNumberFormat="1" applyFont="1" applyFill="1" applyBorder="1" applyAlignment="1" applyProtection="1">
      <alignment horizontal="center" vertical="center"/>
      <protection locked="0" hidden="1"/>
    </xf>
    <xf numFmtId="0" fontId="48" fillId="0" borderId="0" xfId="0" applyFont="1" applyAlignment="1" applyProtection="1">
      <alignment horizontal="center"/>
      <protection hidden="1"/>
    </xf>
    <xf numFmtId="166" fontId="7" fillId="3" borderId="1" xfId="0" applyNumberFormat="1" applyFont="1" applyFill="1" applyBorder="1" applyAlignment="1" applyProtection="1">
      <alignment horizontal="right"/>
      <protection hidden="1"/>
    </xf>
    <xf numFmtId="3" fontId="8" fillId="0" borderId="1" xfId="3" applyNumberFormat="1" applyFont="1" applyFill="1" applyBorder="1" applyAlignment="1" applyProtection="1">
      <alignment horizontal="center" vertical="center"/>
      <protection hidden="1"/>
    </xf>
    <xf numFmtId="0" fontId="0" fillId="0" borderId="0" xfId="0" applyAlignment="1" applyProtection="1">
      <alignment horizontal="justify" vertical="center"/>
      <protection hidden="1"/>
    </xf>
    <xf numFmtId="0" fontId="0" fillId="0" borderId="0" xfId="0" applyAlignment="1" applyProtection="1">
      <alignment horizontal="justify" vertical="center" wrapText="1"/>
      <protection hidden="1"/>
    </xf>
    <xf numFmtId="0" fontId="51" fillId="0" borderId="0" xfId="0" applyFont="1" applyAlignment="1" applyProtection="1">
      <alignment horizontal="justify" vertical="center"/>
      <protection hidden="1"/>
    </xf>
    <xf numFmtId="166" fontId="41" fillId="3" borderId="5" xfId="0" applyNumberFormat="1" applyFont="1" applyFill="1" applyBorder="1" applyAlignment="1" applyProtection="1">
      <alignment horizontal="center" vertical="center"/>
      <protection hidden="1"/>
    </xf>
    <xf numFmtId="166" fontId="41" fillId="3" borderId="0" xfId="0" applyNumberFormat="1" applyFont="1" applyFill="1" applyAlignment="1" applyProtection="1">
      <alignment horizontal="center" vertical="center"/>
      <protection hidden="1"/>
    </xf>
    <xf numFmtId="166" fontId="44" fillId="3" borderId="5" xfId="0" applyNumberFormat="1" applyFont="1" applyFill="1" applyBorder="1" applyAlignment="1" applyProtection="1">
      <alignment horizontal="center" vertical="center"/>
      <protection hidden="1"/>
    </xf>
    <xf numFmtId="166" fontId="44" fillId="3" borderId="0" xfId="0" applyNumberFormat="1" applyFont="1" applyFill="1" applyAlignment="1" applyProtection="1">
      <alignment horizontal="center" vertical="center"/>
      <protection hidden="1"/>
    </xf>
    <xf numFmtId="166" fontId="7" fillId="3" borderId="2" xfId="0" applyNumberFormat="1" applyFont="1" applyFill="1" applyBorder="1" applyAlignment="1" applyProtection="1">
      <alignment horizontal="right"/>
      <protection hidden="1"/>
    </xf>
    <xf numFmtId="166" fontId="7" fillId="3" borderId="3" xfId="0" applyNumberFormat="1" applyFont="1" applyFill="1" applyBorder="1" applyAlignment="1" applyProtection="1">
      <alignment horizontal="right"/>
      <protection hidden="1"/>
    </xf>
    <xf numFmtId="166" fontId="7" fillId="3" borderId="4" xfId="0" applyNumberFormat="1" applyFont="1" applyFill="1" applyBorder="1" applyAlignment="1" applyProtection="1">
      <alignment horizontal="right"/>
      <protection hidden="1"/>
    </xf>
    <xf numFmtId="166" fontId="25" fillId="3" borderId="2" xfId="0" applyNumberFormat="1" applyFont="1" applyFill="1" applyBorder="1" applyAlignment="1" applyProtection="1">
      <alignment horizontal="right" vertical="center" wrapText="1"/>
      <protection hidden="1"/>
    </xf>
    <xf numFmtId="166" fontId="25" fillId="3" borderId="3" xfId="0" applyNumberFormat="1" applyFont="1" applyFill="1" applyBorder="1" applyAlignment="1" applyProtection="1">
      <alignment horizontal="right" vertical="center" wrapText="1"/>
      <protection hidden="1"/>
    </xf>
    <xf numFmtId="166" fontId="25" fillId="3" borderId="4" xfId="0" applyNumberFormat="1" applyFont="1" applyFill="1" applyBorder="1" applyAlignment="1" applyProtection="1">
      <alignment horizontal="right" vertical="center" wrapText="1"/>
      <protection hidden="1"/>
    </xf>
    <xf numFmtId="167" fontId="8" fillId="0" borderId="2" xfId="2" applyNumberFormat="1" applyFont="1" applyFill="1" applyBorder="1" applyAlignment="1" applyProtection="1">
      <alignment horizontal="right" vertical="center" wrapText="1"/>
      <protection hidden="1"/>
    </xf>
    <xf numFmtId="167" fontId="8" fillId="0" borderId="4" xfId="2" applyNumberFormat="1" applyFont="1" applyFill="1" applyBorder="1" applyAlignment="1" applyProtection="1">
      <alignment horizontal="right" vertical="center" wrapText="1"/>
      <protection hidden="1"/>
    </xf>
    <xf numFmtId="3" fontId="5" fillId="5" borderId="0" xfId="0" applyNumberFormat="1" applyFont="1" applyFill="1" applyAlignment="1" applyProtection="1">
      <alignment horizontal="left" vertical="center" wrapText="1"/>
      <protection hidden="1"/>
    </xf>
    <xf numFmtId="167" fontId="6" fillId="0" borderId="2" xfId="2" applyNumberFormat="1" applyFont="1" applyFill="1" applyBorder="1" applyAlignment="1" applyProtection="1">
      <alignment horizontal="center" vertical="center"/>
      <protection hidden="1"/>
    </xf>
    <xf numFmtId="167" fontId="6" fillId="0" borderId="3" xfId="2" applyNumberFormat="1" applyFont="1" applyFill="1" applyBorder="1" applyAlignment="1" applyProtection="1">
      <alignment horizontal="center" vertical="center"/>
      <protection hidden="1"/>
    </xf>
    <xf numFmtId="167" fontId="6" fillId="0" borderId="4" xfId="2" applyNumberFormat="1" applyFont="1" applyFill="1" applyBorder="1" applyAlignment="1" applyProtection="1">
      <alignment horizontal="center" vertical="center"/>
      <protection hidden="1"/>
    </xf>
    <xf numFmtId="166" fontId="7" fillId="3" borderId="1" xfId="0" applyNumberFormat="1" applyFont="1" applyFill="1" applyBorder="1" applyAlignment="1" applyProtection="1">
      <alignment horizontal="center" vertical="center" wrapText="1"/>
      <protection hidden="1"/>
    </xf>
    <xf numFmtId="166" fontId="7" fillId="0" borderId="0" xfId="0" applyNumberFormat="1" applyFont="1" applyAlignment="1" applyProtection="1">
      <alignment horizontal="center" vertical="center"/>
      <protection hidden="1"/>
    </xf>
    <xf numFmtId="3" fontId="8" fillId="0" borderId="0" xfId="3" applyNumberFormat="1" applyFont="1" applyFill="1" applyBorder="1" applyAlignment="1" applyProtection="1">
      <alignment horizontal="center"/>
      <protection hidden="1"/>
    </xf>
    <xf numFmtId="3" fontId="5" fillId="5" borderId="0" xfId="0" applyNumberFormat="1" applyFont="1" applyFill="1" applyAlignment="1" applyProtection="1">
      <alignment horizontal="left"/>
      <protection hidden="1"/>
    </xf>
    <xf numFmtId="0" fontId="42" fillId="14" borderId="1" xfId="0" applyFont="1" applyFill="1" applyBorder="1" applyAlignment="1" applyProtection="1">
      <alignment horizontal="center" vertical="center" wrapText="1"/>
      <protection hidden="1"/>
    </xf>
    <xf numFmtId="0" fontId="3" fillId="0" borderId="0" xfId="0" applyFont="1" applyAlignment="1" applyProtection="1">
      <alignment horizontal="center"/>
      <protection hidden="1"/>
    </xf>
    <xf numFmtId="0" fontId="13" fillId="6" borderId="1" xfId="0" applyFont="1" applyFill="1" applyBorder="1" applyAlignment="1" applyProtection="1">
      <alignment horizontal="center"/>
      <protection hidden="1"/>
    </xf>
    <xf numFmtId="3" fontId="12" fillId="6" borderId="11" xfId="3" applyNumberFormat="1" applyFont="1" applyFill="1" applyBorder="1" applyAlignment="1" applyProtection="1">
      <alignment horizontal="center" vertical="center"/>
      <protection hidden="1"/>
    </xf>
    <xf numFmtId="0" fontId="18" fillId="0" borderId="0" xfId="0" applyFont="1" applyAlignment="1" applyProtection="1">
      <alignment horizontal="center"/>
      <protection hidden="1"/>
    </xf>
    <xf numFmtId="3" fontId="12" fillId="6" borderId="1" xfId="3" applyNumberFormat="1" applyFont="1" applyFill="1" applyBorder="1" applyAlignment="1" applyProtection="1">
      <alignment horizontal="center" vertical="center"/>
      <protection hidden="1"/>
    </xf>
    <xf numFmtId="3" fontId="17" fillId="0" borderId="0" xfId="0" applyNumberFormat="1" applyFont="1" applyAlignment="1" applyProtection="1">
      <alignment horizontal="left"/>
      <protection hidden="1"/>
    </xf>
    <xf numFmtId="0" fontId="3" fillId="14" borderId="1" xfId="0" applyFont="1" applyFill="1" applyBorder="1" applyAlignment="1" applyProtection="1">
      <alignment horizontal="center" vertical="center" wrapText="1"/>
      <protection hidden="1"/>
    </xf>
    <xf numFmtId="166" fontId="17" fillId="3" borderId="2" xfId="0" applyNumberFormat="1" applyFont="1" applyFill="1" applyBorder="1" applyAlignment="1" applyProtection="1">
      <alignment horizontal="center" vertical="center" wrapText="1"/>
      <protection hidden="1"/>
    </xf>
    <xf numFmtId="166" fontId="17" fillId="3" borderId="3" xfId="0" applyNumberFormat="1" applyFont="1" applyFill="1" applyBorder="1" applyAlignment="1" applyProtection="1">
      <alignment horizontal="center" vertical="center" wrapText="1"/>
      <protection hidden="1"/>
    </xf>
    <xf numFmtId="166" fontId="17" fillId="3" borderId="4" xfId="0" applyNumberFormat="1" applyFont="1" applyFill="1" applyBorder="1" applyAlignment="1" applyProtection="1">
      <alignment horizontal="center" vertical="center" wrapText="1"/>
      <protection hidden="1"/>
    </xf>
    <xf numFmtId="38" fontId="3" fillId="0" borderId="1" xfId="0" applyNumberFormat="1" applyFont="1" applyBorder="1" applyAlignment="1" applyProtection="1">
      <alignment horizontal="center"/>
      <protection hidden="1"/>
    </xf>
    <xf numFmtId="3" fontId="3" fillId="0" borderId="1" xfId="0" applyNumberFormat="1" applyFont="1" applyBorder="1" applyAlignment="1" applyProtection="1">
      <alignment horizontal="left" vertical="center"/>
      <protection hidden="1"/>
    </xf>
    <xf numFmtId="0" fontId="3" fillId="0" borderId="2" xfId="0" applyFont="1" applyBorder="1" applyAlignment="1" applyProtection="1">
      <alignment horizontal="right"/>
      <protection hidden="1"/>
    </xf>
    <xf numFmtId="0" fontId="3" fillId="0" borderId="4" xfId="0" applyFont="1" applyBorder="1" applyAlignment="1" applyProtection="1">
      <alignment horizontal="right"/>
      <protection hidden="1"/>
    </xf>
    <xf numFmtId="166" fontId="7" fillId="3" borderId="2" xfId="0" applyNumberFormat="1" applyFont="1" applyFill="1" applyBorder="1" applyAlignment="1" applyProtection="1">
      <alignment horizontal="center" vertical="center" wrapText="1"/>
      <protection hidden="1"/>
    </xf>
    <xf numFmtId="166" fontId="7" fillId="3" borderId="3" xfId="0" applyNumberFormat="1" applyFont="1" applyFill="1" applyBorder="1" applyAlignment="1" applyProtection="1">
      <alignment horizontal="center" vertical="center" wrapText="1"/>
      <protection hidden="1"/>
    </xf>
    <xf numFmtId="166" fontId="7" fillId="3" borderId="4" xfId="0" applyNumberFormat="1" applyFont="1" applyFill="1" applyBorder="1" applyAlignment="1" applyProtection="1">
      <alignment horizontal="center" vertical="center" wrapText="1"/>
      <protection hidden="1"/>
    </xf>
    <xf numFmtId="3" fontId="12" fillId="6" borderId="1" xfId="3" applyNumberFormat="1" applyFont="1" applyFill="1" applyBorder="1" applyAlignment="1" applyProtection="1">
      <alignment horizontal="center" vertical="center" wrapText="1"/>
      <protection hidden="1"/>
    </xf>
    <xf numFmtId="0" fontId="5" fillId="5" borderId="0" xfId="0" applyFont="1" applyFill="1" applyAlignment="1" applyProtection="1">
      <alignment horizontal="left"/>
      <protection hidden="1"/>
    </xf>
    <xf numFmtId="0" fontId="21" fillId="0" borderId="1" xfId="0" applyFont="1" applyBorder="1" applyAlignment="1" applyProtection="1">
      <alignment horizontal="center" vertical="center"/>
      <protection hidden="1"/>
    </xf>
    <xf numFmtId="3" fontId="5" fillId="5" borderId="1" xfId="0" applyNumberFormat="1" applyFont="1" applyFill="1" applyBorder="1" applyAlignment="1" applyProtection="1">
      <alignment horizontal="left"/>
      <protection hidden="1"/>
    </xf>
    <xf numFmtId="3" fontId="22" fillId="5" borderId="0" xfId="0" applyNumberFormat="1" applyFont="1" applyFill="1" applyAlignment="1" applyProtection="1">
      <alignment horizontal="left"/>
      <protection hidden="1"/>
    </xf>
    <xf numFmtId="169" fontId="8" fillId="0" borderId="2" xfId="1" applyNumberFormat="1" applyFont="1" applyFill="1" applyBorder="1" applyAlignment="1" applyProtection="1">
      <alignment horizontal="center" vertical="center"/>
      <protection hidden="1"/>
    </xf>
    <xf numFmtId="169" fontId="8" fillId="0" borderId="4" xfId="1" applyNumberFormat="1" applyFont="1" applyFill="1" applyBorder="1" applyAlignment="1" applyProtection="1">
      <alignment horizontal="center" vertical="center"/>
      <protection hidden="1"/>
    </xf>
    <xf numFmtId="167" fontId="33" fillId="3" borderId="5" xfId="2" applyNumberFormat="1" applyFont="1" applyFill="1" applyBorder="1" applyAlignment="1" applyProtection="1">
      <alignment horizontal="right" vertical="center" wrapText="1"/>
      <protection hidden="1"/>
    </xf>
    <xf numFmtId="167" fontId="33" fillId="3" borderId="0" xfId="2" applyNumberFormat="1" applyFont="1" applyFill="1" applyBorder="1" applyAlignment="1" applyProtection="1">
      <alignment horizontal="right" vertical="center" wrapText="1"/>
      <protection hidden="1"/>
    </xf>
    <xf numFmtId="167" fontId="33" fillId="3" borderId="18" xfId="2" applyNumberFormat="1" applyFont="1" applyFill="1" applyBorder="1" applyAlignment="1" applyProtection="1">
      <alignment horizontal="right" vertical="center" wrapText="1"/>
      <protection hidden="1"/>
    </xf>
    <xf numFmtId="167" fontId="7" fillId="3" borderId="5" xfId="2" applyNumberFormat="1" applyFont="1" applyFill="1" applyBorder="1" applyAlignment="1" applyProtection="1">
      <alignment horizontal="center" vertical="center" wrapText="1"/>
      <protection hidden="1"/>
    </xf>
    <xf numFmtId="167" fontId="7" fillId="3" borderId="18" xfId="2" applyNumberFormat="1" applyFont="1" applyFill="1" applyBorder="1" applyAlignment="1" applyProtection="1">
      <alignment horizontal="center" vertical="center" wrapText="1"/>
      <protection hidden="1"/>
    </xf>
    <xf numFmtId="0" fontId="16" fillId="9" borderId="0" xfId="0" applyFont="1" applyFill="1" applyAlignment="1">
      <alignment horizontal="center" vertical="center"/>
    </xf>
    <xf numFmtId="0" fontId="16" fillId="9" borderId="20" xfId="0" applyFont="1" applyFill="1" applyBorder="1" applyAlignment="1">
      <alignment horizontal="center" vertical="center"/>
    </xf>
    <xf numFmtId="167" fontId="7" fillId="3" borderId="17" xfId="2" applyNumberFormat="1" applyFont="1" applyFill="1" applyBorder="1" applyAlignment="1" applyProtection="1">
      <alignment horizontal="center"/>
      <protection hidden="1"/>
    </xf>
    <xf numFmtId="167" fontId="7" fillId="3" borderId="8" xfId="2" applyNumberFormat="1" applyFont="1" applyFill="1" applyBorder="1" applyAlignment="1" applyProtection="1">
      <alignment horizontal="center"/>
      <protection hidden="1"/>
    </xf>
    <xf numFmtId="167" fontId="7" fillId="3" borderId="2" xfId="2" applyNumberFormat="1" applyFont="1" applyFill="1" applyBorder="1" applyAlignment="1" applyProtection="1">
      <alignment horizontal="center"/>
      <protection hidden="1"/>
    </xf>
    <xf numFmtId="167" fontId="7" fillId="3" borderId="4" xfId="2" applyNumberFormat="1" applyFont="1" applyFill="1" applyBorder="1" applyAlignment="1" applyProtection="1">
      <alignment horizontal="center"/>
      <protection hidden="1"/>
    </xf>
    <xf numFmtId="167" fontId="8" fillId="0" borderId="1" xfId="2" applyNumberFormat="1" applyFont="1" applyFill="1" applyBorder="1" applyAlignment="1" applyProtection="1">
      <alignment horizontal="center" vertical="center"/>
      <protection hidden="1"/>
    </xf>
    <xf numFmtId="167" fontId="7" fillId="3" borderId="3" xfId="2" applyNumberFormat="1" applyFont="1" applyFill="1" applyBorder="1" applyAlignment="1" applyProtection="1">
      <alignment horizontal="center"/>
      <protection hidden="1"/>
    </xf>
    <xf numFmtId="167" fontId="8" fillId="0" borderId="2" xfId="2" applyNumberFormat="1" applyFont="1" applyFill="1" applyBorder="1" applyAlignment="1" applyProtection="1">
      <alignment horizontal="center" vertical="center"/>
      <protection hidden="1"/>
    </xf>
    <xf numFmtId="167" fontId="8" fillId="0" borderId="3" xfId="2" applyNumberFormat="1" applyFont="1" applyFill="1" applyBorder="1" applyAlignment="1" applyProtection="1">
      <alignment horizontal="center" vertical="center"/>
      <protection hidden="1"/>
    </xf>
    <xf numFmtId="167" fontId="8" fillId="0" borderId="4" xfId="2" applyNumberFormat="1" applyFont="1" applyFill="1" applyBorder="1" applyAlignment="1" applyProtection="1">
      <alignment horizontal="center" vertical="center"/>
      <protection hidden="1"/>
    </xf>
    <xf numFmtId="0" fontId="5" fillId="2" borderId="8" xfId="0" applyFont="1" applyFill="1" applyBorder="1" applyAlignment="1">
      <alignment horizontal="left"/>
    </xf>
    <xf numFmtId="0" fontId="49" fillId="0" borderId="1" xfId="0" applyFont="1" applyBorder="1" applyAlignment="1" applyProtection="1">
      <alignment horizontal="left" vertical="center" wrapText="1"/>
      <protection hidden="1"/>
    </xf>
    <xf numFmtId="166" fontId="44" fillId="3" borderId="0" xfId="0" applyNumberFormat="1" applyFont="1" applyFill="1" applyAlignment="1" applyProtection="1">
      <alignment horizontal="center" vertical="center" wrapText="1"/>
      <protection hidden="1"/>
    </xf>
    <xf numFmtId="166" fontId="44" fillId="3" borderId="8" xfId="0" applyNumberFormat="1" applyFont="1" applyFill="1" applyBorder="1" applyAlignment="1" applyProtection="1">
      <alignment horizontal="center" vertical="center" wrapText="1"/>
      <protection hidden="1"/>
    </xf>
    <xf numFmtId="166" fontId="45" fillId="3" borderId="0" xfId="0" applyNumberFormat="1" applyFont="1" applyFill="1" applyAlignment="1" applyProtection="1">
      <alignment horizontal="center" vertical="center" wrapText="1"/>
      <protection hidden="1"/>
    </xf>
    <xf numFmtId="166" fontId="45" fillId="3" borderId="8" xfId="0" applyNumberFormat="1" applyFont="1" applyFill="1" applyBorder="1" applyAlignment="1" applyProtection="1">
      <alignment horizontal="center" vertical="center" wrapText="1"/>
      <protection hidden="1"/>
    </xf>
    <xf numFmtId="0" fontId="63" fillId="10" borderId="24" xfId="0" applyFont="1" applyFill="1" applyBorder="1" applyAlignment="1" applyProtection="1">
      <alignment horizontal="center" vertical="center" wrapText="1"/>
      <protection hidden="1"/>
    </xf>
    <xf numFmtId="0" fontId="63" fillId="10" borderId="25" xfId="0" applyFont="1" applyFill="1" applyBorder="1" applyAlignment="1" applyProtection="1">
      <alignment horizontal="center" vertical="center" wrapText="1"/>
      <protection hidden="1"/>
    </xf>
    <xf numFmtId="0" fontId="63" fillId="10" borderId="26" xfId="0" applyFont="1" applyFill="1" applyBorder="1" applyAlignment="1" applyProtection="1">
      <alignment horizontal="center" vertical="center" wrapText="1"/>
      <protection hidden="1"/>
    </xf>
    <xf numFmtId="9" fontId="59" fillId="0" borderId="14" xfId="4" applyFont="1" applyFill="1" applyBorder="1" applyAlignment="1" applyProtection="1">
      <alignment horizontal="center" vertical="center"/>
      <protection hidden="1"/>
    </xf>
    <xf numFmtId="9" fontId="59" fillId="0" borderId="8" xfId="4" applyFont="1" applyFill="1" applyBorder="1" applyAlignment="1" applyProtection="1">
      <alignment horizontal="center" vertical="center"/>
      <protection hidden="1"/>
    </xf>
    <xf numFmtId="9" fontId="59" fillId="0" borderId="27" xfId="4" applyFont="1" applyFill="1" applyBorder="1" applyAlignment="1" applyProtection="1">
      <alignment horizontal="center" vertical="center"/>
      <protection hidden="1"/>
    </xf>
    <xf numFmtId="9" fontId="61" fillId="0" borderId="2" xfId="4" applyFont="1" applyFill="1" applyBorder="1" applyAlignment="1" applyProtection="1">
      <alignment horizontal="center" vertical="center"/>
      <protection hidden="1"/>
    </xf>
    <xf numFmtId="9" fontId="61" fillId="0" borderId="3" xfId="4" applyFont="1" applyFill="1" applyBorder="1" applyAlignment="1" applyProtection="1">
      <alignment horizontal="center" vertical="center"/>
      <protection hidden="1"/>
    </xf>
    <xf numFmtId="9" fontId="61" fillId="0" borderId="4" xfId="4" applyFont="1" applyFill="1" applyBorder="1" applyAlignment="1" applyProtection="1">
      <alignment horizontal="center" vertical="center"/>
      <protection hidden="1"/>
    </xf>
    <xf numFmtId="0" fontId="60" fillId="0" borderId="28" xfId="5" applyFont="1" applyBorder="1" applyAlignment="1" applyProtection="1">
      <alignment horizontal="center"/>
      <protection hidden="1"/>
    </xf>
    <xf numFmtId="0" fontId="60" fillId="0" borderId="29" xfId="5" applyFont="1" applyBorder="1" applyAlignment="1" applyProtection="1">
      <alignment horizontal="center"/>
      <protection hidden="1"/>
    </xf>
    <xf numFmtId="0" fontId="60" fillId="0" borderId="30" xfId="5" applyFont="1" applyBorder="1" applyAlignment="1" applyProtection="1">
      <alignment horizontal="center"/>
      <protection hidden="1"/>
    </xf>
    <xf numFmtId="0" fontId="6" fillId="0" borderId="31" xfId="5" applyBorder="1" applyAlignment="1" applyProtection="1">
      <alignment horizontal="left"/>
      <protection hidden="1"/>
    </xf>
    <xf numFmtId="0" fontId="6" fillId="0" borderId="1" xfId="5" applyBorder="1" applyAlignment="1" applyProtection="1">
      <alignment horizontal="left"/>
      <protection hidden="1"/>
    </xf>
    <xf numFmtId="0" fontId="6" fillId="0" borderId="2" xfId="5" applyBorder="1" applyAlignment="1" applyProtection="1">
      <alignment horizontal="left"/>
      <protection hidden="1"/>
    </xf>
    <xf numFmtId="10" fontId="8" fillId="0" borderId="2" xfId="4" applyNumberFormat="1" applyFont="1" applyFill="1" applyBorder="1" applyAlignment="1" applyProtection="1">
      <alignment horizontal="right" vertical="center"/>
      <protection hidden="1"/>
    </xf>
    <xf numFmtId="10" fontId="8" fillId="0" borderId="4" xfId="4" applyNumberFormat="1" applyFont="1" applyFill="1" applyBorder="1" applyAlignment="1" applyProtection="1">
      <alignment horizontal="right" vertical="center"/>
      <protection hidden="1"/>
    </xf>
    <xf numFmtId="0" fontId="60" fillId="0" borderId="24" xfId="5" applyFont="1" applyBorder="1" applyAlignment="1" applyProtection="1">
      <alignment horizontal="center"/>
      <protection hidden="1"/>
    </xf>
    <xf numFmtId="0" fontId="60" fillId="0" borderId="25" xfId="5" applyFont="1" applyBorder="1" applyAlignment="1" applyProtection="1">
      <alignment horizontal="center"/>
      <protection hidden="1"/>
    </xf>
    <xf numFmtId="0" fontId="60" fillId="0" borderId="26" xfId="5" applyFont="1" applyBorder="1" applyAlignment="1" applyProtection="1">
      <alignment horizontal="center"/>
      <protection hidden="1"/>
    </xf>
    <xf numFmtId="169" fontId="8" fillId="4" borderId="2" xfId="1" applyNumberFormat="1" applyFont="1" applyFill="1" applyBorder="1" applyAlignment="1" applyProtection="1">
      <alignment horizontal="center" vertical="center"/>
      <protection locked="0" hidden="1"/>
    </xf>
    <xf numFmtId="169" fontId="8" fillId="4" borderId="4" xfId="1" applyNumberFormat="1" applyFont="1" applyFill="1" applyBorder="1" applyAlignment="1" applyProtection="1">
      <alignment horizontal="center" vertical="center"/>
      <protection locked="0" hidden="1"/>
    </xf>
    <xf numFmtId="0" fontId="5" fillId="0" borderId="34" xfId="5" applyFont="1" applyBorder="1" applyAlignment="1" applyProtection="1">
      <alignment horizontal="right"/>
      <protection hidden="1"/>
    </xf>
    <xf numFmtId="0" fontId="5" fillId="0" borderId="35" xfId="5" applyFont="1" applyBorder="1" applyAlignment="1" applyProtection="1">
      <alignment horizontal="right"/>
      <protection hidden="1"/>
    </xf>
    <xf numFmtId="0" fontId="5" fillId="0" borderId="36" xfId="5" applyFont="1" applyBorder="1" applyAlignment="1" applyProtection="1">
      <alignment horizontal="right"/>
      <protection hidden="1"/>
    </xf>
    <xf numFmtId="0" fontId="60" fillId="0" borderId="37" xfId="5" applyFont="1" applyBorder="1" applyAlignment="1" applyProtection="1">
      <alignment horizontal="center"/>
      <protection hidden="1"/>
    </xf>
    <xf numFmtId="0" fontId="60" fillId="0" borderId="38" xfId="5" applyFont="1" applyBorder="1" applyAlignment="1" applyProtection="1">
      <alignment horizontal="center"/>
      <protection hidden="1"/>
    </xf>
    <xf numFmtId="0" fontId="58" fillId="0" borderId="40" xfId="5" applyFont="1" applyBorder="1" applyAlignment="1" applyProtection="1">
      <alignment horizontal="center" vertical="justify"/>
      <protection hidden="1"/>
    </xf>
    <xf numFmtId="0" fontId="58" fillId="0" borderId="41" xfId="5" applyFont="1" applyBorder="1" applyAlignment="1" applyProtection="1">
      <alignment horizontal="center" vertical="justify"/>
      <protection hidden="1"/>
    </xf>
    <xf numFmtId="0" fontId="58" fillId="0" borderId="31" xfId="5" applyFont="1" applyBorder="1" applyAlignment="1" applyProtection="1">
      <alignment horizontal="center"/>
      <protection hidden="1"/>
    </xf>
    <xf numFmtId="0" fontId="58" fillId="0" borderId="1" xfId="5" applyFont="1" applyBorder="1" applyAlignment="1" applyProtection="1">
      <alignment horizontal="center"/>
      <protection hidden="1"/>
    </xf>
    <xf numFmtId="0" fontId="58" fillId="0" borderId="42" xfId="5" applyFont="1" applyBorder="1" applyAlignment="1" applyProtection="1">
      <alignment horizontal="center" vertical="justify"/>
      <protection hidden="1"/>
    </xf>
    <xf numFmtId="0" fontId="58" fillId="0" borderId="43" xfId="5" applyFont="1" applyBorder="1" applyAlignment="1" applyProtection="1">
      <alignment horizontal="center" vertical="justify"/>
      <protection hidden="1"/>
    </xf>
    <xf numFmtId="0" fontId="58" fillId="0" borderId="24" xfId="5" applyFont="1" applyBorder="1" applyAlignment="1" applyProtection="1">
      <alignment horizontal="center"/>
      <protection hidden="1"/>
    </xf>
    <xf numFmtId="0" fontId="58" fillId="0" borderId="25" xfId="5" applyFont="1" applyBorder="1" applyAlignment="1" applyProtection="1">
      <alignment horizontal="center"/>
      <protection hidden="1"/>
    </xf>
    <xf numFmtId="0" fontId="58" fillId="0" borderId="40" xfId="5" applyFont="1" applyBorder="1" applyAlignment="1" applyProtection="1">
      <alignment horizontal="left"/>
      <protection hidden="1"/>
    </xf>
    <xf numFmtId="0" fontId="58" fillId="0" borderId="41" xfId="5" applyFont="1" applyBorder="1" applyAlignment="1" applyProtection="1">
      <alignment horizontal="left"/>
      <protection hidden="1"/>
    </xf>
    <xf numFmtId="0" fontId="58" fillId="0" borderId="44" xfId="5" applyFont="1" applyBorder="1" applyAlignment="1" applyProtection="1">
      <alignment horizontal="left"/>
      <protection hidden="1"/>
    </xf>
    <xf numFmtId="9" fontId="58" fillId="11" borderId="45" xfId="7" applyFont="1" applyFill="1" applyBorder="1" applyAlignment="1" applyProtection="1">
      <alignment horizontal="right"/>
      <protection hidden="1"/>
    </xf>
    <xf numFmtId="9" fontId="58" fillId="11" borderId="46" xfId="7" applyFont="1" applyFill="1" applyBorder="1" applyAlignment="1" applyProtection="1">
      <alignment horizontal="right"/>
      <protection hidden="1"/>
    </xf>
    <xf numFmtId="0" fontId="58" fillId="0" borderId="31" xfId="5" applyFont="1" applyBorder="1" applyAlignment="1" applyProtection="1">
      <alignment horizontal="left"/>
      <protection hidden="1"/>
    </xf>
    <xf numFmtId="0" fontId="58" fillId="0" borderId="1" xfId="5" applyFont="1" applyBorder="1" applyAlignment="1" applyProtection="1">
      <alignment horizontal="left"/>
      <protection hidden="1"/>
    </xf>
    <xf numFmtId="0" fontId="58" fillId="0" borderId="2" xfId="5" applyFont="1" applyBorder="1" applyAlignment="1" applyProtection="1">
      <alignment horizontal="left"/>
      <protection hidden="1"/>
    </xf>
    <xf numFmtId="175" fontId="58" fillId="11" borderId="31" xfId="6" applyNumberFormat="1" applyFont="1" applyFill="1" applyBorder="1" applyAlignment="1" applyProtection="1">
      <alignment horizontal="center"/>
      <protection hidden="1"/>
    </xf>
    <xf numFmtId="175" fontId="58" fillId="11" borderId="33" xfId="6" applyNumberFormat="1" applyFont="1" applyFill="1" applyBorder="1" applyAlignment="1" applyProtection="1">
      <alignment horizontal="center"/>
      <protection hidden="1"/>
    </xf>
    <xf numFmtId="0" fontId="58" fillId="0" borderId="47" xfId="5" applyFont="1" applyBorder="1" applyAlignment="1" applyProtection="1">
      <alignment horizontal="left"/>
      <protection hidden="1"/>
    </xf>
    <xf numFmtId="0" fontId="58" fillId="0" borderId="10" xfId="5" applyFont="1" applyBorder="1" applyAlignment="1" applyProtection="1">
      <alignment horizontal="left"/>
      <protection hidden="1"/>
    </xf>
    <xf numFmtId="0" fontId="58" fillId="0" borderId="12" xfId="5" applyFont="1" applyBorder="1" applyAlignment="1" applyProtection="1">
      <alignment horizontal="left"/>
      <protection hidden="1"/>
    </xf>
    <xf numFmtId="175" fontId="58" fillId="11" borderId="47" xfId="6" applyNumberFormat="1" applyFont="1" applyFill="1" applyBorder="1" applyAlignment="1" applyProtection="1">
      <alignment horizontal="center"/>
      <protection hidden="1"/>
    </xf>
    <xf numFmtId="175" fontId="58" fillId="11" borderId="48" xfId="6" applyNumberFormat="1" applyFont="1" applyFill="1" applyBorder="1" applyAlignment="1" applyProtection="1">
      <alignment horizontal="center"/>
      <protection hidden="1"/>
    </xf>
    <xf numFmtId="0" fontId="60" fillId="0" borderId="28" xfId="5" applyFont="1" applyBorder="1" applyAlignment="1" applyProtection="1">
      <alignment horizontal="left"/>
      <protection hidden="1"/>
    </xf>
    <xf numFmtId="0" fontId="60" fillId="0" borderId="29" xfId="5" applyFont="1" applyBorder="1" applyAlignment="1" applyProtection="1">
      <alignment horizontal="left"/>
      <protection hidden="1"/>
    </xf>
    <xf numFmtId="0" fontId="60" fillId="0" borderId="49" xfId="5" applyFont="1" applyBorder="1" applyAlignment="1" applyProtection="1">
      <alignment horizontal="left"/>
      <protection hidden="1"/>
    </xf>
    <xf numFmtId="0" fontId="58" fillId="0" borderId="26" xfId="5" applyFont="1" applyBorder="1" applyAlignment="1" applyProtection="1">
      <alignment horizontal="center"/>
      <protection hidden="1"/>
    </xf>
    <xf numFmtId="165" fontId="3" fillId="0" borderId="1" xfId="2" applyFont="1" applyBorder="1" applyAlignment="1" applyProtection="1">
      <alignment horizontal="center" vertical="center"/>
      <protection hidden="1"/>
    </xf>
    <xf numFmtId="167" fontId="0" fillId="0" borderId="1" xfId="2" applyNumberFormat="1" applyFont="1" applyBorder="1" applyAlignment="1" applyProtection="1">
      <alignment horizontal="justify" vertical="center" wrapText="1"/>
      <protection hidden="1"/>
    </xf>
    <xf numFmtId="0" fontId="67" fillId="14" borderId="1" xfId="0" applyFont="1" applyFill="1" applyBorder="1" applyAlignment="1" applyProtection="1">
      <alignment horizontal="center" vertical="center" wrapText="1"/>
      <protection hidden="1"/>
    </xf>
    <xf numFmtId="0" fontId="0" fillId="0" borderId="0" xfId="0" applyAlignment="1" applyProtection="1">
      <alignment horizontal="left" vertical="center" wrapText="1"/>
      <protection hidden="1"/>
    </xf>
    <xf numFmtId="168" fontId="7" fillId="12" borderId="8" xfId="3" applyFont="1" applyFill="1" applyBorder="1" applyAlignment="1" applyProtection="1">
      <alignment horizontal="center" vertical="center"/>
      <protection hidden="1"/>
    </xf>
    <xf numFmtId="3" fontId="68" fillId="0" borderId="10" xfId="0" applyNumberFormat="1" applyFont="1" applyBorder="1" applyAlignment="1" applyProtection="1">
      <alignment horizontal="center"/>
      <protection hidden="1"/>
    </xf>
    <xf numFmtId="0" fontId="68" fillId="0" borderId="10" xfId="0" applyFont="1" applyBorder="1" applyAlignment="1" applyProtection="1">
      <alignment horizontal="center"/>
      <protection hidden="1"/>
    </xf>
    <xf numFmtId="168" fontId="7" fillId="12" borderId="0" xfId="3" applyFont="1" applyFill="1" applyBorder="1" applyAlignment="1" applyProtection="1">
      <alignment horizontal="center" vertical="center"/>
      <protection hidden="1"/>
    </xf>
    <xf numFmtId="168" fontId="7" fillId="12" borderId="1" xfId="3" applyFont="1" applyFill="1" applyBorder="1" applyAlignment="1" applyProtection="1">
      <alignment horizontal="left" vertical="center"/>
      <protection hidden="1"/>
    </xf>
    <xf numFmtId="3" fontId="22" fillId="5" borderId="1" xfId="0" applyNumberFormat="1" applyFont="1" applyFill="1" applyBorder="1" applyAlignment="1" applyProtection="1">
      <alignment horizontal="left" vertical="center" wrapText="1"/>
      <protection hidden="1"/>
    </xf>
    <xf numFmtId="166" fontId="7" fillId="3" borderId="5" xfId="0" applyNumberFormat="1" applyFont="1" applyFill="1" applyBorder="1" applyAlignment="1" applyProtection="1">
      <alignment horizontal="center" vertical="center"/>
      <protection hidden="1"/>
    </xf>
    <xf numFmtId="166" fontId="7" fillId="3" borderId="0" xfId="0" applyNumberFormat="1" applyFont="1" applyFill="1" applyAlignment="1" applyProtection="1">
      <alignment horizontal="center" vertical="center"/>
      <protection hidden="1"/>
    </xf>
    <xf numFmtId="166" fontId="33" fillId="3" borderId="1" xfId="0" applyNumberFormat="1" applyFont="1" applyFill="1" applyBorder="1" applyAlignment="1" applyProtection="1">
      <alignment horizontal="center"/>
      <protection hidden="1"/>
    </xf>
    <xf numFmtId="3" fontId="73" fillId="0" borderId="1" xfId="3" applyNumberFormat="1" applyFont="1" applyFill="1" applyBorder="1" applyAlignment="1" applyProtection="1">
      <alignment horizontal="right"/>
      <protection hidden="1"/>
    </xf>
    <xf numFmtId="0" fontId="75" fillId="0" borderId="0" xfId="0" applyFont="1" applyAlignment="1" applyProtection="1">
      <alignment horizontal="center"/>
      <protection hidden="1"/>
    </xf>
    <xf numFmtId="166" fontId="33" fillId="3" borderId="1" xfId="0" applyNumberFormat="1" applyFont="1" applyFill="1" applyBorder="1" applyAlignment="1" applyProtection="1">
      <alignment horizontal="center" vertical="center" wrapText="1"/>
      <protection hidden="1"/>
    </xf>
    <xf numFmtId="165" fontId="74" fillId="0" borderId="1" xfId="0" applyNumberFormat="1" applyFont="1" applyBorder="1" applyAlignment="1" applyProtection="1">
      <alignment horizontal="center"/>
      <protection hidden="1"/>
    </xf>
    <xf numFmtId="0" fontId="74" fillId="0" borderId="1" xfId="0" applyFont="1" applyBorder="1" applyAlignment="1" applyProtection="1">
      <alignment horizontal="right"/>
      <protection hidden="1"/>
    </xf>
    <xf numFmtId="166" fontId="33" fillId="3" borderId="1" xfId="0" applyNumberFormat="1" applyFont="1" applyFill="1" applyBorder="1" applyAlignment="1" applyProtection="1">
      <alignment horizontal="right"/>
      <protection hidden="1"/>
    </xf>
    <xf numFmtId="166" fontId="33" fillId="3" borderId="51" xfId="0" applyNumberFormat="1" applyFont="1" applyFill="1" applyBorder="1" applyAlignment="1" applyProtection="1">
      <alignment horizontal="right"/>
      <protection hidden="1"/>
    </xf>
    <xf numFmtId="166" fontId="33" fillId="3" borderId="0" xfId="0" applyNumberFormat="1" applyFont="1" applyFill="1" applyAlignment="1" applyProtection="1">
      <alignment horizontal="right"/>
      <protection hidden="1"/>
    </xf>
    <xf numFmtId="0" fontId="81" fillId="6" borderId="0" xfId="0" applyFont="1" applyFill="1" applyAlignment="1" applyProtection="1">
      <alignment horizontal="center" vertical="center" wrapText="1"/>
      <protection hidden="1"/>
    </xf>
    <xf numFmtId="169" fontId="0" fillId="4" borderId="1" xfId="1" applyNumberFormat="1" applyFont="1" applyFill="1" applyBorder="1" applyAlignment="1" applyProtection="1">
      <alignment horizontal="center" vertical="center"/>
      <protection locked="0"/>
    </xf>
  </cellXfs>
  <cellStyles count="9">
    <cellStyle name="Hipervínculo" xfId="8" builtinId="8"/>
    <cellStyle name="Millares" xfId="1" builtinId="3"/>
    <cellStyle name="Millares 2" xfId="6" xr:uid="{D3B31F95-509E-4436-A3ED-CF46C53F85B3}"/>
    <cellStyle name="Millares_Modelo Financiero ACME Final" xfId="3" xr:uid="{FDAFEF97-2B80-4CA2-89AF-7608F0D7CDE6}"/>
    <cellStyle name="Moneda" xfId="2" builtinId="4"/>
    <cellStyle name="Normal" xfId="0" builtinId="0"/>
    <cellStyle name="Normal 2 2" xfId="5" xr:uid="{F26233F4-F9F4-4D24-935F-606B461C8AE5}"/>
    <cellStyle name="Porcentaje" xfId="4" builtinId="5"/>
    <cellStyle name="Porcentaje 2" xfId="7" xr:uid="{A26F727A-C5E3-4649-88E0-EE4256816E7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Año 1 de Operación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val>
            <c:numRef>
              <c:f>'3. Proyección Ventas'!$B$59:$M$59</c:f>
              <c:numCache>
                <c:formatCode>_-* #,##0_-;\-* #,##0_-;_-* "-"??_-;_-@_-</c:formatCode>
                <c:ptCount val="12"/>
                <c:pt idx="0">
                  <c:v>49</c:v>
                </c:pt>
                <c:pt idx="1">
                  <c:v>59</c:v>
                </c:pt>
                <c:pt idx="2">
                  <c:v>71</c:v>
                </c:pt>
                <c:pt idx="3">
                  <c:v>71</c:v>
                </c:pt>
                <c:pt idx="4">
                  <c:v>86</c:v>
                </c:pt>
                <c:pt idx="5">
                  <c:v>99</c:v>
                </c:pt>
                <c:pt idx="6">
                  <c:v>103</c:v>
                </c:pt>
                <c:pt idx="7">
                  <c:v>75</c:v>
                </c:pt>
                <c:pt idx="8">
                  <c:v>86</c:v>
                </c:pt>
                <c:pt idx="9">
                  <c:v>90</c:v>
                </c:pt>
                <c:pt idx="10">
                  <c:v>164</c:v>
                </c:pt>
                <c:pt idx="11">
                  <c:v>174</c:v>
                </c:pt>
              </c:numCache>
            </c:numRef>
          </c:val>
          <c:extLst>
            <c:ext xmlns:c15="http://schemas.microsoft.com/office/drawing/2012/chart" uri="{02D57815-91ED-43cb-92C2-25804820EDAC}">
              <c15:filteredCategoryTitle>
                <c15:cat>
                  <c:strRef>
                    <c:extLst>
                      <c:ext uri="{02D57815-91ED-43cb-92C2-25804820EDAC}">
                        <c15:formulaRef>
                          <c15:sqref>'3. Proyección Ventas'!$B$58:$M$58</c15:sqref>
                        </c15:formulaRef>
                      </c:ext>
                    </c:extLst>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15:cat>
              </c15:filteredCategoryTitle>
            </c:ext>
            <c:ext xmlns:c16="http://schemas.microsoft.com/office/drawing/2014/chart" uri="{C3380CC4-5D6E-409C-BE32-E72D297353CC}">
              <c16:uniqueId val="{00000000-B4B3-4297-B750-06A0CAB4137B}"/>
            </c:ext>
          </c:extLst>
        </c:ser>
        <c:dLbls>
          <c:dLblPos val="outEnd"/>
          <c:showLegendKey val="0"/>
          <c:showVal val="1"/>
          <c:showCatName val="0"/>
          <c:showSerName val="0"/>
          <c:showPercent val="0"/>
          <c:showBubbleSize val="0"/>
        </c:dLbls>
        <c:gapWidth val="219"/>
        <c:overlap val="-27"/>
        <c:axId val="648299791"/>
        <c:axId val="648293551"/>
      </c:barChart>
      <c:catAx>
        <c:axId val="6482997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648293551"/>
        <c:crosses val="autoZero"/>
        <c:auto val="1"/>
        <c:lblAlgn val="ctr"/>
        <c:lblOffset val="100"/>
        <c:noMultiLvlLbl val="0"/>
      </c:catAx>
      <c:valAx>
        <c:axId val="648293551"/>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6482997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s-CO"/>
              <a:t>Año 2 de Operación</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s-419"/>
        </a:p>
      </c:txPr>
    </c:title>
    <c:autoTitleDeleted val="0"/>
    <c:plotArea>
      <c:layout/>
      <c:barChart>
        <c:barDir val="col"/>
        <c:grouping val="clustered"/>
        <c:varyColors val="0"/>
        <c:ser>
          <c:idx val="0"/>
          <c:order val="0"/>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trendline>
            <c:spPr>
              <a:ln w="19050" cap="rnd">
                <a:solidFill>
                  <a:schemeClr val="accent3"/>
                </a:solidFill>
                <a:round/>
              </a:ln>
              <a:effectLst/>
            </c:spPr>
            <c:trendlineType val="linear"/>
            <c:dispRSqr val="0"/>
            <c:dispEq val="0"/>
          </c:trendline>
          <c:val>
            <c:numRef>
              <c:f>'3. Proyección Ventas'!$B$62:$M$62</c:f>
              <c:numCache>
                <c:formatCode>_-* #,##0_-;\-* #,##0_-;_-* "-"??_-;_-@_-</c:formatCode>
                <c:ptCount val="12"/>
                <c:pt idx="0">
                  <c:v>51.694999999999993</c:v>
                </c:pt>
                <c:pt idx="1">
                  <c:v>62.24499999999999</c:v>
                </c:pt>
                <c:pt idx="2">
                  <c:v>74.904999999999987</c:v>
                </c:pt>
                <c:pt idx="3">
                  <c:v>74.905000000000001</c:v>
                </c:pt>
                <c:pt idx="4">
                  <c:v>90.72999999999999</c:v>
                </c:pt>
                <c:pt idx="5">
                  <c:v>104.44499999999999</c:v>
                </c:pt>
                <c:pt idx="6">
                  <c:v>108.66500000000001</c:v>
                </c:pt>
                <c:pt idx="7">
                  <c:v>79.125</c:v>
                </c:pt>
                <c:pt idx="8">
                  <c:v>90.72999999999999</c:v>
                </c:pt>
                <c:pt idx="9">
                  <c:v>94.949999999999989</c:v>
                </c:pt>
                <c:pt idx="10">
                  <c:v>173.01999999999998</c:v>
                </c:pt>
                <c:pt idx="11">
                  <c:v>183.57</c:v>
                </c:pt>
              </c:numCache>
            </c:numRef>
          </c:val>
          <c:extLst>
            <c:ext xmlns:c15="http://schemas.microsoft.com/office/drawing/2012/chart" uri="{02D57815-91ED-43cb-92C2-25804820EDAC}">
              <c15:filteredCategoryTitle>
                <c15:cat>
                  <c:strRef>
                    <c:extLst>
                      <c:ext uri="{02D57815-91ED-43cb-92C2-25804820EDAC}">
                        <c15:formulaRef>
                          <c15:sqref>'3. Proyección Ventas'!$B$61:$M$61</c15:sqref>
                        </c15:formulaRef>
                      </c:ext>
                    </c:extLst>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15:cat>
              </c15:filteredCategoryTitle>
            </c:ext>
            <c:ext xmlns:c16="http://schemas.microsoft.com/office/drawing/2014/chart" uri="{C3380CC4-5D6E-409C-BE32-E72D297353CC}">
              <c16:uniqueId val="{00000000-E8BE-459C-B763-38D875C4CFF9}"/>
            </c:ext>
          </c:extLst>
        </c:ser>
        <c:dLbls>
          <c:dLblPos val="outEnd"/>
          <c:showLegendKey val="0"/>
          <c:showVal val="1"/>
          <c:showCatName val="0"/>
          <c:showSerName val="0"/>
          <c:showPercent val="0"/>
          <c:showBubbleSize val="0"/>
        </c:dLbls>
        <c:gapWidth val="199"/>
        <c:axId val="886927711"/>
        <c:axId val="886923967"/>
      </c:barChart>
      <c:catAx>
        <c:axId val="886927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s-419"/>
          </a:p>
        </c:txPr>
        <c:crossAx val="886923967"/>
        <c:crosses val="autoZero"/>
        <c:auto val="1"/>
        <c:lblAlgn val="ctr"/>
        <c:lblOffset val="100"/>
        <c:noMultiLvlLbl val="0"/>
      </c:catAx>
      <c:valAx>
        <c:axId val="88692396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88692771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Año 3 de Operación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barChart>
        <c:barDir val="col"/>
        <c:grouping val="clustered"/>
        <c:varyColors val="0"/>
        <c:ser>
          <c:idx val="0"/>
          <c:order val="0"/>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val>
            <c:numRef>
              <c:f>'3. Proyección Ventas'!$B$65:$M$65</c:f>
              <c:numCache>
                <c:formatCode>_-* #,##0_-;\-* #,##0_-;_-* "-"??_-;_-@_-</c:formatCode>
                <c:ptCount val="12"/>
                <c:pt idx="0">
                  <c:v>54.538224999999997</c:v>
                </c:pt>
                <c:pt idx="1">
                  <c:v>65.668475000000001</c:v>
                </c:pt>
                <c:pt idx="2">
                  <c:v>79.024774999999991</c:v>
                </c:pt>
                <c:pt idx="3">
                  <c:v>79.024774999999991</c:v>
                </c:pt>
                <c:pt idx="4">
                  <c:v>95.72014999999999</c:v>
                </c:pt>
                <c:pt idx="5">
                  <c:v>110.18947499999999</c:v>
                </c:pt>
                <c:pt idx="6">
                  <c:v>114.64157499999997</c:v>
                </c:pt>
                <c:pt idx="7">
                  <c:v>83.476874999999993</c:v>
                </c:pt>
                <c:pt idx="8">
                  <c:v>95.72014999999999</c:v>
                </c:pt>
                <c:pt idx="9">
                  <c:v>100.17224999999999</c:v>
                </c:pt>
                <c:pt idx="10">
                  <c:v>182.53609999999998</c:v>
                </c:pt>
                <c:pt idx="11">
                  <c:v>193.66634999999997</c:v>
                </c:pt>
              </c:numCache>
            </c:numRef>
          </c:val>
          <c:extLst>
            <c:ext xmlns:c15="http://schemas.microsoft.com/office/drawing/2012/chart" uri="{02D57815-91ED-43cb-92C2-25804820EDAC}">
              <c15:filteredCategoryTitle>
                <c15:cat>
                  <c:strRef>
                    <c:extLst>
                      <c:ext uri="{02D57815-91ED-43cb-92C2-25804820EDAC}">
                        <c15:formulaRef>
                          <c15:sqref>'3. Proyección Ventas'!$B$64:$M$64</c15:sqref>
                        </c15:formulaRef>
                      </c:ext>
                    </c:extLst>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15:cat>
              </c15:filteredCategoryTitle>
            </c:ext>
            <c:ext xmlns:c16="http://schemas.microsoft.com/office/drawing/2014/chart" uri="{C3380CC4-5D6E-409C-BE32-E72D297353CC}">
              <c16:uniqueId val="{00000000-3784-46B8-8D58-DB5F14B80598}"/>
            </c:ext>
          </c:extLst>
        </c:ser>
        <c:dLbls>
          <c:showLegendKey val="0"/>
          <c:showVal val="0"/>
          <c:showCatName val="0"/>
          <c:showSerName val="0"/>
          <c:showPercent val="0"/>
          <c:showBubbleSize val="0"/>
        </c:dLbls>
        <c:gapWidth val="219"/>
        <c:overlap val="-27"/>
        <c:axId val="771580671"/>
        <c:axId val="771579007"/>
      </c:barChart>
      <c:catAx>
        <c:axId val="771580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771579007"/>
        <c:crosses val="autoZero"/>
        <c:auto val="1"/>
        <c:lblAlgn val="ctr"/>
        <c:lblOffset val="100"/>
        <c:noMultiLvlLbl val="0"/>
      </c:catAx>
      <c:valAx>
        <c:axId val="771579007"/>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7715806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Año 4 de Operación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419"/>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val>
            <c:numRef>
              <c:f>'3. Proyección Ventas'!$B$68:$M$68</c:f>
              <c:numCache>
                <c:formatCode>_-* #,##0_-;\-* #,##0_-;_-* "-"??_-;_-@_-</c:formatCode>
                <c:ptCount val="12"/>
                <c:pt idx="0">
                  <c:v>57.537827374999992</c:v>
                </c:pt>
                <c:pt idx="1">
                  <c:v>69.280241124999975</c:v>
                </c:pt>
                <c:pt idx="2">
                  <c:v>83.371137624999989</c:v>
                </c:pt>
                <c:pt idx="3">
                  <c:v>83.371137624999989</c:v>
                </c:pt>
                <c:pt idx="4">
                  <c:v>100.98475824999998</c:v>
                </c:pt>
                <c:pt idx="5">
                  <c:v>116.24989612499999</c:v>
                </c:pt>
                <c:pt idx="6">
                  <c:v>120.94686162499997</c:v>
                </c:pt>
                <c:pt idx="7">
                  <c:v>88.068103124999979</c:v>
                </c:pt>
                <c:pt idx="8">
                  <c:v>100.98475824999998</c:v>
                </c:pt>
                <c:pt idx="9">
                  <c:v>105.68172374999997</c:v>
                </c:pt>
                <c:pt idx="10">
                  <c:v>192.57558549999996</c:v>
                </c:pt>
                <c:pt idx="11">
                  <c:v>204.31799924999996</c:v>
                </c:pt>
              </c:numCache>
            </c:numRef>
          </c:val>
          <c:extLst>
            <c:ext xmlns:c15="http://schemas.microsoft.com/office/drawing/2012/chart" uri="{02D57815-91ED-43cb-92C2-25804820EDAC}">
              <c15:filteredCategoryTitle>
                <c15:cat>
                  <c:strRef>
                    <c:extLst>
                      <c:ext uri="{02D57815-91ED-43cb-92C2-25804820EDAC}">
                        <c15:formulaRef>
                          <c15:sqref>'3. Proyección Ventas'!$B$67:$M$67</c15:sqref>
                        </c15:formulaRef>
                      </c:ext>
                    </c:extLst>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15:cat>
              </c15:filteredCategoryTitle>
            </c:ext>
            <c:ext xmlns:c16="http://schemas.microsoft.com/office/drawing/2014/chart" uri="{C3380CC4-5D6E-409C-BE32-E72D297353CC}">
              <c16:uniqueId val="{00000000-F71F-442D-B4C5-826C2CE4F770}"/>
            </c:ext>
          </c:extLst>
        </c:ser>
        <c:dLbls>
          <c:dLblPos val="outEnd"/>
          <c:showLegendKey val="0"/>
          <c:showVal val="1"/>
          <c:showCatName val="0"/>
          <c:showSerName val="0"/>
          <c:showPercent val="0"/>
          <c:showBubbleSize val="0"/>
        </c:dLbls>
        <c:gapWidth val="219"/>
        <c:overlap val="-27"/>
        <c:axId val="771583583"/>
        <c:axId val="771581503"/>
      </c:barChart>
      <c:catAx>
        <c:axId val="771583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771581503"/>
        <c:crosses val="autoZero"/>
        <c:auto val="1"/>
        <c:lblAlgn val="ctr"/>
        <c:lblOffset val="100"/>
        <c:noMultiLvlLbl val="0"/>
      </c:catAx>
      <c:valAx>
        <c:axId val="771581503"/>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7715835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CO"/>
              <a:t>Año 5 de Operación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419"/>
        </a:p>
      </c:txPr>
    </c:title>
    <c:autoTitleDeleted val="0"/>
    <c:plotArea>
      <c:layout/>
      <c:barChart>
        <c:barDir val="col"/>
        <c:grouping val="clustered"/>
        <c:varyColors val="0"/>
        <c:ser>
          <c:idx val="0"/>
          <c:order val="0"/>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val>
            <c:numRef>
              <c:f>'3. Proyección Ventas'!$B$71:$M$71</c:f>
              <c:numCache>
                <c:formatCode>_-* #,##0_-;\-* #,##0_-;_-* "-"??_-;_-@_-</c:formatCode>
                <c:ptCount val="12"/>
                <c:pt idx="0">
                  <c:v>60.702407880624975</c:v>
                </c:pt>
                <c:pt idx="1">
                  <c:v>73.090654386874988</c:v>
                </c:pt>
                <c:pt idx="2">
                  <c:v>87.956550194374984</c:v>
                </c:pt>
                <c:pt idx="3">
                  <c:v>87.956550194374969</c:v>
                </c:pt>
                <c:pt idx="4">
                  <c:v>106.53891995374997</c:v>
                </c:pt>
                <c:pt idx="5">
                  <c:v>122.64364041187497</c:v>
                </c:pt>
                <c:pt idx="6">
                  <c:v>127.59893901437496</c:v>
                </c:pt>
                <c:pt idx="7">
                  <c:v>92.911848796874978</c:v>
                </c:pt>
                <c:pt idx="8">
                  <c:v>106.53891995374998</c:v>
                </c:pt>
                <c:pt idx="9">
                  <c:v>111.49421855624996</c:v>
                </c:pt>
                <c:pt idx="10">
                  <c:v>203.16724270249995</c:v>
                </c:pt>
                <c:pt idx="11">
                  <c:v>215.55548920874992</c:v>
                </c:pt>
              </c:numCache>
            </c:numRef>
          </c:val>
          <c:extLst>
            <c:ext xmlns:c15="http://schemas.microsoft.com/office/drawing/2012/chart" uri="{02D57815-91ED-43cb-92C2-25804820EDAC}">
              <c15:filteredCategoryTitle>
                <c15:cat>
                  <c:strRef>
                    <c:extLst>
                      <c:ext uri="{02D57815-91ED-43cb-92C2-25804820EDAC}">
                        <c15:formulaRef>
                          <c15:sqref>'3. Proyección Ventas'!$B$70:$M$70</c15:sqref>
                        </c15:formulaRef>
                      </c:ext>
                    </c:extLst>
                    <c:strCache>
                      <c:ptCount val="12"/>
                      <c:pt idx="0">
                        <c:v>MES 1</c:v>
                      </c:pt>
                      <c:pt idx="1">
                        <c:v>MES 2</c:v>
                      </c:pt>
                      <c:pt idx="2">
                        <c:v>MES 3</c:v>
                      </c:pt>
                      <c:pt idx="3">
                        <c:v>MES 4</c:v>
                      </c:pt>
                      <c:pt idx="4">
                        <c:v>MES 5</c:v>
                      </c:pt>
                      <c:pt idx="5">
                        <c:v>MES 6</c:v>
                      </c:pt>
                      <c:pt idx="6">
                        <c:v>MES 7</c:v>
                      </c:pt>
                      <c:pt idx="7">
                        <c:v>MES 8</c:v>
                      </c:pt>
                      <c:pt idx="8">
                        <c:v>MES 9</c:v>
                      </c:pt>
                      <c:pt idx="9">
                        <c:v>MES 10</c:v>
                      </c:pt>
                      <c:pt idx="10">
                        <c:v>MES 11</c:v>
                      </c:pt>
                      <c:pt idx="11">
                        <c:v>MES 12</c:v>
                      </c:pt>
                    </c:strCache>
                  </c:strRef>
                </c15:cat>
              </c15:filteredCategoryTitle>
            </c:ext>
            <c:ext xmlns:c16="http://schemas.microsoft.com/office/drawing/2014/chart" uri="{C3380CC4-5D6E-409C-BE32-E72D297353CC}">
              <c16:uniqueId val="{00000000-A4C3-4876-A90F-BAFCA3DD9E4D}"/>
            </c:ext>
          </c:extLst>
        </c:ser>
        <c:dLbls>
          <c:showLegendKey val="0"/>
          <c:showVal val="0"/>
          <c:showCatName val="0"/>
          <c:showSerName val="0"/>
          <c:showPercent val="0"/>
          <c:showBubbleSize val="0"/>
        </c:dLbls>
        <c:gapWidth val="219"/>
        <c:overlap val="-27"/>
        <c:axId val="683219551"/>
        <c:axId val="683217887"/>
      </c:barChart>
      <c:catAx>
        <c:axId val="6832195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683217887"/>
        <c:crosses val="autoZero"/>
        <c:auto val="1"/>
        <c:lblAlgn val="ctr"/>
        <c:lblOffset val="100"/>
        <c:noMultiLvlLbl val="0"/>
      </c:catAx>
      <c:valAx>
        <c:axId val="683217887"/>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6832195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b="0" i="0" baseline="0">
                <a:effectLst/>
              </a:rPr>
              <a:t> Escalabilidad del emprendimiento a 5 años (Utilidad o Pérdida Neta Final)</a:t>
            </a:r>
            <a:endParaRPr lang="es-CO" sz="1100">
              <a:effectLst/>
            </a:endParaRP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barChart>
        <c:barDir val="col"/>
        <c:grouping val="clustered"/>
        <c:varyColors val="0"/>
        <c:ser>
          <c:idx val="0"/>
          <c:order val="0"/>
          <c:spPr>
            <a:solidFill>
              <a:schemeClr val="accent1"/>
            </a:solidFill>
            <a:ln>
              <a:noFill/>
            </a:ln>
            <a:effectLst/>
          </c:spPr>
          <c:invertIfNegative val="0"/>
          <c:cat>
            <c:numRef>
              <c:f>'11. Estado PyG'!$E$36:$I$36</c:f>
              <c:numCache>
                <c:formatCode>"Año "#,##0</c:formatCode>
                <c:ptCount val="5"/>
                <c:pt idx="0">
                  <c:v>1</c:v>
                </c:pt>
                <c:pt idx="1">
                  <c:v>2</c:v>
                </c:pt>
                <c:pt idx="2">
                  <c:v>3</c:v>
                </c:pt>
                <c:pt idx="3">
                  <c:v>4</c:v>
                </c:pt>
                <c:pt idx="4">
                  <c:v>5</c:v>
                </c:pt>
              </c:numCache>
            </c:numRef>
          </c:cat>
          <c:val>
            <c:numRef>
              <c:f>'11. Estado PyG'!$E$37:$I$37</c:f>
              <c:numCache>
                <c:formatCode>"$"\ #,##0;[Red]\-"$"\ #,##0</c:formatCode>
                <c:ptCount val="5"/>
                <c:pt idx="0">
                  <c:v>-1859944921.6096001</c:v>
                </c:pt>
                <c:pt idx="1">
                  <c:v>-2075867422.8063357</c:v>
                </c:pt>
                <c:pt idx="2">
                  <c:v>-2317687938.2305722</c:v>
                </c:pt>
                <c:pt idx="3">
                  <c:v>-2588573780.8185701</c:v>
                </c:pt>
                <c:pt idx="4">
                  <c:v>-2892083996.5716004</c:v>
                </c:pt>
              </c:numCache>
            </c:numRef>
          </c:val>
          <c:extLst>
            <c:ext xmlns:c16="http://schemas.microsoft.com/office/drawing/2014/chart" uri="{C3380CC4-5D6E-409C-BE32-E72D297353CC}">
              <c16:uniqueId val="{00000000-1952-424D-84AD-06060F64A485}"/>
            </c:ext>
          </c:extLst>
        </c:ser>
        <c:dLbls>
          <c:showLegendKey val="0"/>
          <c:showVal val="0"/>
          <c:showCatName val="0"/>
          <c:showSerName val="0"/>
          <c:showPercent val="0"/>
          <c:showBubbleSize val="0"/>
        </c:dLbls>
        <c:gapWidth val="219"/>
        <c:overlap val="-27"/>
        <c:axId val="283619984"/>
        <c:axId val="283625808"/>
      </c:barChart>
      <c:catAx>
        <c:axId val="283619984"/>
        <c:scaling>
          <c:orientation val="minMax"/>
        </c:scaling>
        <c:delete val="0"/>
        <c:axPos val="b"/>
        <c:numFmt formatCode="&quot;Año &quot;#,##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283625808"/>
        <c:crosses val="autoZero"/>
        <c:auto val="1"/>
        <c:lblAlgn val="ctr"/>
        <c:lblOffset val="100"/>
        <c:noMultiLvlLbl val="0"/>
      </c:catAx>
      <c:valAx>
        <c:axId val="283625808"/>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Red]\-&quot;$&quot;\ #,##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419"/>
          </a:p>
        </c:txPr>
        <c:crossAx val="283619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419"/>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753716</xdr:colOff>
      <xdr:row>4</xdr:row>
      <xdr:rowOff>3313</xdr:rowOff>
    </xdr:from>
    <xdr:to>
      <xdr:col>13</xdr:col>
      <xdr:colOff>0</xdr:colOff>
      <xdr:row>18</xdr:row>
      <xdr:rowOff>79513</xdr:rowOff>
    </xdr:to>
    <xdr:graphicFrame macro="">
      <xdr:nvGraphicFramePr>
        <xdr:cNvPr id="2" name="Gráfico 1">
          <a:extLst>
            <a:ext uri="{FF2B5EF4-FFF2-40B4-BE49-F238E27FC236}">
              <a16:creationId xmlns:a16="http://schemas.microsoft.com/office/drawing/2014/main" id="{B3FA4988-FBF2-4566-93EE-754590B59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737150</xdr:colOff>
      <xdr:row>20</xdr:row>
      <xdr:rowOff>3313</xdr:rowOff>
    </xdr:from>
    <xdr:to>
      <xdr:col>12</xdr:col>
      <xdr:colOff>761999</xdr:colOff>
      <xdr:row>34</xdr:row>
      <xdr:rowOff>79513</xdr:rowOff>
    </xdr:to>
    <xdr:graphicFrame macro="">
      <xdr:nvGraphicFramePr>
        <xdr:cNvPr id="3" name="Gráfico 2">
          <a:extLst>
            <a:ext uri="{FF2B5EF4-FFF2-40B4-BE49-F238E27FC236}">
              <a16:creationId xmlns:a16="http://schemas.microsoft.com/office/drawing/2014/main" id="{F05B1281-9A43-4E22-AE95-377B762D18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728870</xdr:colOff>
      <xdr:row>36</xdr:row>
      <xdr:rowOff>11596</xdr:rowOff>
    </xdr:from>
    <xdr:to>
      <xdr:col>13</xdr:col>
      <xdr:colOff>49696</xdr:colOff>
      <xdr:row>50</xdr:row>
      <xdr:rowOff>87796</xdr:rowOff>
    </xdr:to>
    <xdr:graphicFrame macro="">
      <xdr:nvGraphicFramePr>
        <xdr:cNvPr id="4" name="Gráfico 3">
          <a:extLst>
            <a:ext uri="{FF2B5EF4-FFF2-40B4-BE49-F238E27FC236}">
              <a16:creationId xmlns:a16="http://schemas.microsoft.com/office/drawing/2014/main" id="{3C836776-024A-4A72-AB19-794762581E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737151</xdr:colOff>
      <xdr:row>52</xdr:row>
      <xdr:rowOff>28161</xdr:rowOff>
    </xdr:from>
    <xdr:to>
      <xdr:col>13</xdr:col>
      <xdr:colOff>41413</xdr:colOff>
      <xdr:row>66</xdr:row>
      <xdr:rowOff>104361</xdr:rowOff>
    </xdr:to>
    <xdr:graphicFrame macro="">
      <xdr:nvGraphicFramePr>
        <xdr:cNvPr id="5" name="Gráfico 4">
          <a:extLst>
            <a:ext uri="{FF2B5EF4-FFF2-40B4-BE49-F238E27FC236}">
              <a16:creationId xmlns:a16="http://schemas.microsoft.com/office/drawing/2014/main" id="{4F7FBFE7-BCEA-4FDE-B528-141703E4D5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741292</xdr:colOff>
      <xdr:row>68</xdr:row>
      <xdr:rowOff>11596</xdr:rowOff>
    </xdr:from>
    <xdr:to>
      <xdr:col>13</xdr:col>
      <xdr:colOff>24847</xdr:colOff>
      <xdr:row>82</xdr:row>
      <xdr:rowOff>87796</xdr:rowOff>
    </xdr:to>
    <xdr:graphicFrame macro="">
      <xdr:nvGraphicFramePr>
        <xdr:cNvPr id="6" name="Gráfico 5">
          <a:extLst>
            <a:ext uri="{FF2B5EF4-FFF2-40B4-BE49-F238E27FC236}">
              <a16:creationId xmlns:a16="http://schemas.microsoft.com/office/drawing/2014/main" id="{51B48FF7-CE2B-4250-981D-2ED5C76678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284920</xdr:colOff>
      <xdr:row>11</xdr:row>
      <xdr:rowOff>53009</xdr:rowOff>
    </xdr:from>
    <xdr:to>
      <xdr:col>4</xdr:col>
      <xdr:colOff>672717</xdr:colOff>
      <xdr:row>19</xdr:row>
      <xdr:rowOff>145774</xdr:rowOff>
    </xdr:to>
    <xdr:pic>
      <xdr:nvPicPr>
        <xdr:cNvPr id="2" name="Imagen 1" descr="Ilustración De Vector De Dibujos Animados De La Estructura De La  Organización Empresarial Ilustraciones svg, vectoriales, clip art  vectorizado libre de derechos. Image 90849551">
          <a:extLst>
            <a:ext uri="{FF2B5EF4-FFF2-40B4-BE49-F238E27FC236}">
              <a16:creationId xmlns:a16="http://schemas.microsoft.com/office/drawing/2014/main" id="{D6052F49-8F7B-870D-18E1-54FD7B29E5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167807" y="2054087"/>
          <a:ext cx="2528023" cy="17360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515662</xdr:colOff>
      <xdr:row>17</xdr:row>
      <xdr:rowOff>6569</xdr:rowOff>
    </xdr:from>
    <xdr:to>
      <xdr:col>10</xdr:col>
      <xdr:colOff>788275</xdr:colOff>
      <xdr:row>34</xdr:row>
      <xdr:rowOff>97221</xdr:rowOff>
    </xdr:to>
    <xdr:graphicFrame macro="">
      <xdr:nvGraphicFramePr>
        <xdr:cNvPr id="3" name="Gráfico 2">
          <a:extLst>
            <a:ext uri="{FF2B5EF4-FFF2-40B4-BE49-F238E27FC236}">
              <a16:creationId xmlns:a16="http://schemas.microsoft.com/office/drawing/2014/main" id="{92F628C7-9EE8-4553-967C-7D5EAE6564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13</xdr:col>
      <xdr:colOff>345244</xdr:colOff>
      <xdr:row>3</xdr:row>
      <xdr:rowOff>161193</xdr:rowOff>
    </xdr:from>
    <xdr:to>
      <xdr:col>16</xdr:col>
      <xdr:colOff>460570</xdr:colOff>
      <xdr:row>11</xdr:row>
      <xdr:rowOff>158995</xdr:rowOff>
    </xdr:to>
    <xdr:pic>
      <xdr:nvPicPr>
        <xdr:cNvPr id="2" name="Imagen 1">
          <a:extLst>
            <a:ext uri="{FF2B5EF4-FFF2-40B4-BE49-F238E27FC236}">
              <a16:creationId xmlns:a16="http://schemas.microsoft.com/office/drawing/2014/main" id="{B0A42D2F-0545-4313-B706-A114BBC19E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667" y="1099039"/>
          <a:ext cx="2753018" cy="146318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259080</xdr:colOff>
      <xdr:row>5</xdr:row>
      <xdr:rowOff>0</xdr:rowOff>
    </xdr:from>
    <xdr:to>
      <xdr:col>3</xdr:col>
      <xdr:colOff>190500</xdr:colOff>
      <xdr:row>10</xdr:row>
      <xdr:rowOff>152400</xdr:rowOff>
    </xdr:to>
    <xdr:pic macro="[0]!PEQU">
      <xdr:nvPicPr>
        <xdr:cNvPr id="5" name="Imagen 4">
          <a:extLst>
            <a:ext uri="{FF2B5EF4-FFF2-40B4-BE49-F238E27FC236}">
              <a16:creationId xmlns:a16="http://schemas.microsoft.com/office/drawing/2014/main" id="{B321E578-ED4B-7993-A254-B02D10BDE58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152900" y="1310640"/>
          <a:ext cx="1066800" cy="1066800"/>
        </a:xfrm>
        <a:prstGeom prst="rect">
          <a:avLst/>
        </a:prstGeom>
      </xdr:spPr>
    </xdr:pic>
    <xdr:clientData/>
  </xdr:twoCellAnchor>
  <xdr:twoCellAnchor editAs="oneCell">
    <xdr:from>
      <xdr:col>14</xdr:col>
      <xdr:colOff>51288</xdr:colOff>
      <xdr:row>13</xdr:row>
      <xdr:rowOff>175846</xdr:rowOff>
    </xdr:from>
    <xdr:to>
      <xdr:col>16</xdr:col>
      <xdr:colOff>464527</xdr:colOff>
      <xdr:row>21</xdr:row>
      <xdr:rowOff>129686</xdr:rowOff>
    </xdr:to>
    <xdr:pic>
      <xdr:nvPicPr>
        <xdr:cNvPr id="6" name="Imagen 5">
          <a:extLst>
            <a:ext uri="{FF2B5EF4-FFF2-40B4-BE49-F238E27FC236}">
              <a16:creationId xmlns:a16="http://schemas.microsoft.com/office/drawing/2014/main" id="{7D63F095-F18D-48DA-8736-571B3636340F}"/>
            </a:ext>
          </a:extLst>
        </xdr:cNvPr>
        <xdr:cNvPicPr/>
      </xdr:nvPicPr>
      <xdr:blipFill>
        <a:blip xmlns:r="http://schemas.openxmlformats.org/officeDocument/2006/relationships" r:embed="rId3"/>
        <a:stretch>
          <a:fillRect/>
        </a:stretch>
      </xdr:blipFill>
      <xdr:spPr>
        <a:xfrm>
          <a:off x="15305942" y="2945423"/>
          <a:ext cx="2171700" cy="1419225"/>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es.wikipedia.org/wiki/Anexo:Variaci%C3%B3n_de_la_inflaci%C3%B3n_de_Colombia_desde_1946"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diazfayber27@gmail.com" TargetMode="External"/><Relationship Id="rId1" Type="http://schemas.openxmlformats.org/officeDocument/2006/relationships/hyperlink" Target="mailto:luugerdalieth@gmail.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E872BF-3462-468F-942F-E631DF4FA5C9}">
  <sheetPr codeName="Hoja1">
    <tabColor theme="1"/>
  </sheetPr>
  <dimension ref="A1:H20"/>
  <sheetViews>
    <sheetView showGridLines="0" zoomScale="130" zoomScaleNormal="130" workbookViewId="0">
      <selection activeCell="A25" sqref="A25"/>
    </sheetView>
  </sheetViews>
  <sheetFormatPr baseColWidth="10" defaultColWidth="10" defaultRowHeight="15" x14ac:dyDescent="0.25"/>
  <cols>
    <col min="1" max="5" width="24.42578125" style="15" customWidth="1"/>
    <col min="6" max="16384" width="10" style="15"/>
  </cols>
  <sheetData>
    <row r="1" spans="1:8" ht="18" x14ac:dyDescent="0.25">
      <c r="A1" s="303" t="s">
        <v>474</v>
      </c>
      <c r="B1" s="303"/>
      <c r="C1" s="303"/>
      <c r="D1" s="303"/>
      <c r="E1" s="303"/>
    </row>
    <row r="3" spans="1:8" x14ac:dyDescent="0.25">
      <c r="A3" s="15" t="s">
        <v>325</v>
      </c>
    </row>
    <row r="5" spans="1:8" x14ac:dyDescent="0.25">
      <c r="A5" s="302" t="s">
        <v>326</v>
      </c>
      <c r="B5" s="302"/>
      <c r="C5" s="302"/>
      <c r="D5" s="302"/>
      <c r="E5" s="302"/>
    </row>
    <row r="6" spans="1:8" x14ac:dyDescent="0.25">
      <c r="A6" s="302" t="s">
        <v>327</v>
      </c>
      <c r="B6" s="302"/>
      <c r="C6" s="302"/>
      <c r="D6" s="302"/>
      <c r="E6" s="302"/>
    </row>
    <row r="8" spans="1:8" x14ac:dyDescent="0.25">
      <c r="A8" s="159" t="s">
        <v>328</v>
      </c>
    </row>
    <row r="10" spans="1:8" x14ac:dyDescent="0.25">
      <c r="A10" s="302" t="s">
        <v>329</v>
      </c>
      <c r="B10" s="302"/>
      <c r="C10" s="302"/>
      <c r="D10" s="302"/>
      <c r="E10" s="302"/>
      <c r="F10" s="302"/>
      <c r="G10" s="302"/>
      <c r="H10" s="302"/>
    </row>
    <row r="11" spans="1:8" x14ac:dyDescent="0.25">
      <c r="A11" s="302" t="s">
        <v>330</v>
      </c>
      <c r="B11" s="302"/>
      <c r="C11" s="302"/>
      <c r="D11" s="302"/>
      <c r="E11" s="302"/>
      <c r="F11" s="302"/>
      <c r="G11" s="302"/>
      <c r="H11" s="302"/>
    </row>
    <row r="12" spans="1:8" x14ac:dyDescent="0.25">
      <c r="A12" s="302" t="s">
        <v>331</v>
      </c>
      <c r="B12" s="302"/>
      <c r="C12" s="302"/>
      <c r="D12" s="302"/>
      <c r="E12" s="302"/>
      <c r="F12" s="302"/>
      <c r="G12" s="302"/>
      <c r="H12" s="302"/>
    </row>
    <row r="13" spans="1:8" x14ac:dyDescent="0.25">
      <c r="A13" s="15" t="s">
        <v>332</v>
      </c>
    </row>
    <row r="14" spans="1:8" x14ac:dyDescent="0.25">
      <c r="A14" s="15" t="s">
        <v>333</v>
      </c>
    </row>
    <row r="15" spans="1:8" x14ac:dyDescent="0.25">
      <c r="A15" s="15" t="s">
        <v>334</v>
      </c>
    </row>
    <row r="16" spans="1:8" x14ac:dyDescent="0.25">
      <c r="A16" s="15" t="s">
        <v>335</v>
      </c>
    </row>
    <row r="17" spans="1:1" x14ac:dyDescent="0.25">
      <c r="A17" s="15" t="s">
        <v>336</v>
      </c>
    </row>
    <row r="19" spans="1:1" hidden="1" x14ac:dyDescent="0.25">
      <c r="A19" s="15" t="s">
        <v>475</v>
      </c>
    </row>
    <row r="20" spans="1:1" hidden="1" x14ac:dyDescent="0.25">
      <c r="A20" s="15" t="s">
        <v>448</v>
      </c>
    </row>
  </sheetData>
  <sheetProtection algorithmName="SHA-512" hashValue="mwEwJGckUskj4MWlF+UptOzxNWBRObKdZa6jRZrvfoProqh8DJKkThSNpDkaYTveW+Nd/EdvQtF3qRXxrHZrMg==" saltValue="vhEh21KkzCXSb2EQHoDHXw==" spinCount="100000" sheet="1"/>
  <mergeCells count="6">
    <mergeCell ref="A12:H12"/>
    <mergeCell ref="A1:E1"/>
    <mergeCell ref="A5:E5"/>
    <mergeCell ref="A6:E6"/>
    <mergeCell ref="A10:H10"/>
    <mergeCell ref="A11:H1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2BDAD-71BD-451E-9EE8-39C075B9FA46}">
  <sheetPr codeName="Hoja2">
    <tabColor theme="1"/>
  </sheetPr>
  <dimension ref="A1:AC202"/>
  <sheetViews>
    <sheetView topLeftCell="A114" zoomScaleNormal="100" workbookViewId="0">
      <selection activeCell="A167" sqref="A167"/>
    </sheetView>
  </sheetViews>
  <sheetFormatPr baseColWidth="10" defaultColWidth="11.42578125" defaultRowHeight="15" x14ac:dyDescent="0.25"/>
  <cols>
    <col min="1" max="3" width="11.42578125" style="15"/>
    <col min="4" max="4" width="42.85546875" style="15" customWidth="1"/>
    <col min="5" max="9" width="18.42578125" style="15" customWidth="1"/>
    <col min="10" max="10" width="15.140625" style="15" bestFit="1" customWidth="1"/>
    <col min="11" max="11" width="26.42578125" style="15" customWidth="1"/>
    <col min="12" max="12" width="13.42578125" style="15" customWidth="1"/>
    <col min="13" max="13" width="11.42578125" style="15"/>
    <col min="14" max="14" width="13.7109375" style="15" customWidth="1"/>
    <col min="15" max="15" width="14.140625" style="15" bestFit="1" customWidth="1"/>
    <col min="16" max="21" width="11.42578125" style="15"/>
    <col min="22" max="23" width="14.42578125" style="15" customWidth="1"/>
    <col min="24" max="24" width="12.42578125" style="15" customWidth="1"/>
    <col min="25" max="26" width="13.7109375" style="15" customWidth="1"/>
    <col min="27" max="29" width="14.42578125" style="15" customWidth="1"/>
    <col min="30" max="16384" width="11.42578125" style="15"/>
  </cols>
  <sheetData>
    <row r="1" spans="1:29" ht="15.75" hidden="1" thickBot="1" x14ac:dyDescent="0.3"/>
    <row r="2" spans="1:29" ht="38.25" hidden="1" x14ac:dyDescent="0.25">
      <c r="A2" s="254">
        <v>2019</v>
      </c>
      <c r="B2" s="255">
        <v>3.8</v>
      </c>
      <c r="D2" s="16" t="s">
        <v>21</v>
      </c>
      <c r="E2" s="256" t="s">
        <v>62</v>
      </c>
      <c r="F2" s="256" t="s">
        <v>63</v>
      </c>
      <c r="G2" s="256" t="s">
        <v>64</v>
      </c>
      <c r="H2" s="256" t="s">
        <v>65</v>
      </c>
      <c r="I2" s="256" t="s">
        <v>66</v>
      </c>
      <c r="K2" s="309" t="s">
        <v>106</v>
      </c>
      <c r="L2" s="312" t="s">
        <v>113</v>
      </c>
      <c r="M2" s="73" t="s">
        <v>114</v>
      </c>
      <c r="N2" s="73" t="s">
        <v>115</v>
      </c>
      <c r="O2" s="307" t="s">
        <v>116</v>
      </c>
      <c r="P2" s="73" t="s">
        <v>153</v>
      </c>
      <c r="Q2" s="73" t="s">
        <v>117</v>
      </c>
      <c r="R2" s="73" t="s">
        <v>118</v>
      </c>
      <c r="S2" s="73" t="s">
        <v>119</v>
      </c>
      <c r="T2" s="73" t="s">
        <v>120</v>
      </c>
      <c r="U2" s="73" t="s">
        <v>121</v>
      </c>
      <c r="V2" s="307" t="s">
        <v>122</v>
      </c>
      <c r="W2" s="73" t="s">
        <v>123</v>
      </c>
      <c r="X2" s="73" t="s">
        <v>154</v>
      </c>
      <c r="Y2" s="73" t="s">
        <v>155</v>
      </c>
      <c r="Z2" s="73" t="s">
        <v>156</v>
      </c>
      <c r="AA2" s="73" t="s">
        <v>445</v>
      </c>
      <c r="AB2" s="73" t="s">
        <v>446</v>
      </c>
      <c r="AC2" s="73" t="s">
        <v>447</v>
      </c>
    </row>
    <row r="3" spans="1:29" hidden="1" x14ac:dyDescent="0.25">
      <c r="A3" s="254">
        <v>2020</v>
      </c>
      <c r="B3" s="255">
        <v>1.613</v>
      </c>
      <c r="D3" s="14" t="str">
        <f>+'2. Mercado'!A5</f>
        <v>Servicio tecnico</v>
      </c>
      <c r="E3" s="257">
        <f>+'2. Mercado'!B5</f>
        <v>80000</v>
      </c>
      <c r="F3" s="50">
        <f t="shared" ref="F3:I7" si="0">+(E3*$B$7)+E3</f>
        <v>85352</v>
      </c>
      <c r="G3" s="50">
        <f t="shared" si="0"/>
        <v>91062.048800000004</v>
      </c>
      <c r="H3" s="50">
        <f t="shared" si="0"/>
        <v>97154.099864720003</v>
      </c>
      <c r="I3" s="50">
        <f t="shared" si="0"/>
        <v>103653.70914566977</v>
      </c>
      <c r="K3" s="310"/>
      <c r="L3" s="313"/>
      <c r="M3" s="100">
        <v>0.125</v>
      </c>
      <c r="N3" s="100">
        <v>0.16</v>
      </c>
      <c r="O3" s="314"/>
      <c r="P3" s="100">
        <v>0.04</v>
      </c>
      <c r="Q3" s="100">
        <v>8.3299999999999999E-2</v>
      </c>
      <c r="R3" s="100">
        <v>1.1999999999999999E-3</v>
      </c>
      <c r="S3" s="100">
        <v>8.3299999999999999E-2</v>
      </c>
      <c r="T3" s="101">
        <v>5.2199999999999998E-3</v>
      </c>
      <c r="U3" s="100">
        <v>4.1700000000000001E-2</v>
      </c>
      <c r="V3" s="308"/>
      <c r="W3" s="102">
        <v>12</v>
      </c>
    </row>
    <row r="4" spans="1:29" hidden="1" x14ac:dyDescent="0.25">
      <c r="A4" s="254">
        <v>2021</v>
      </c>
      <c r="B4" s="255">
        <v>5.62</v>
      </c>
      <c r="D4" s="14" t="str">
        <f>+'2. Mercado'!A6</f>
        <v>Disco SSD (500gb)</v>
      </c>
      <c r="E4" s="257">
        <f>+'2. Mercado'!B6</f>
        <v>500000</v>
      </c>
      <c r="F4" s="50">
        <f t="shared" si="0"/>
        <v>533450</v>
      </c>
      <c r="G4" s="50">
        <f t="shared" si="0"/>
        <v>569137.80500000005</v>
      </c>
      <c r="H4" s="50">
        <f t="shared" si="0"/>
        <v>607213.12415450008</v>
      </c>
      <c r="I4" s="50">
        <f t="shared" si="0"/>
        <v>647835.68216043618</v>
      </c>
      <c r="K4" s="13" t="str">
        <f>+'6. Nomina'!B6</f>
        <v>Administración</v>
      </c>
      <c r="L4" s="13">
        <f>+'6. Nomina'!C6</f>
        <v>2950905</v>
      </c>
      <c r="M4" s="13">
        <f>+'6. Nomina'!D6</f>
        <v>368863.125</v>
      </c>
      <c r="N4" s="13">
        <f>+'6. Nomina'!E6</f>
        <v>472144.8</v>
      </c>
      <c r="O4" s="13">
        <f>+'6. Nomina'!F6</f>
        <v>249095</v>
      </c>
      <c r="P4" s="13">
        <f>+'6. Nomina'!G6</f>
        <v>118036.2</v>
      </c>
      <c r="Q4" s="13">
        <f>+'6. Nomina'!H6</f>
        <v>245810.38649999999</v>
      </c>
      <c r="R4" s="13">
        <f>+'6. Nomina'!I6</f>
        <v>3541.0859999999998</v>
      </c>
      <c r="S4" s="13">
        <f>+'6. Nomina'!J6</f>
        <v>245810.38649999999</v>
      </c>
      <c r="T4" s="13">
        <f>+'6. Nomina'!K6</f>
        <v>15403.724099999999</v>
      </c>
      <c r="U4" s="13">
        <f>+'6. Nomina'!L6</f>
        <v>123052.73850000001</v>
      </c>
      <c r="V4" s="13">
        <f>+'6. Nomina'!M6</f>
        <v>4792662.4466000004</v>
      </c>
      <c r="W4" s="13">
        <f>+'6. Nomina'!N6</f>
        <v>57511949.359200001</v>
      </c>
      <c r="X4" s="50">
        <f>+IF(K4=$D$13,V4,0)</f>
        <v>0</v>
      </c>
      <c r="Y4" s="50">
        <f>+IF(K4=$D$14,V4,0)</f>
        <v>0</v>
      </c>
      <c r="Z4" s="268">
        <f>+IF(K4=$D$12,V4,0)</f>
        <v>4792662.4466000004</v>
      </c>
      <c r="AA4" s="50">
        <f>+X4*$W$3</f>
        <v>0</v>
      </c>
      <c r="AB4" s="50">
        <f t="shared" ref="AB4:AC4" si="1">+Y4*$W$3</f>
        <v>0</v>
      </c>
      <c r="AC4" s="50">
        <f t="shared" si="1"/>
        <v>57511949.359200001</v>
      </c>
    </row>
    <row r="5" spans="1:29" hidden="1" x14ac:dyDescent="0.25">
      <c r="A5" s="254">
        <v>2022</v>
      </c>
      <c r="B5" s="255">
        <v>13.12</v>
      </c>
      <c r="D5" s="14" t="str">
        <f>+'2. Mercado'!A7</f>
        <v>Memoria RAM (DDR5 2x16gb)</v>
      </c>
      <c r="E5" s="257">
        <f>+'2. Mercado'!B7</f>
        <v>795000</v>
      </c>
      <c r="F5" s="50">
        <f t="shared" si="0"/>
        <v>848185.5</v>
      </c>
      <c r="G5" s="50">
        <f t="shared" si="0"/>
        <v>904929.10994999995</v>
      </c>
      <c r="H5" s="50">
        <f t="shared" si="0"/>
        <v>965468.86740565498</v>
      </c>
      <c r="I5" s="50">
        <f t="shared" si="0"/>
        <v>1030058.7346350932</v>
      </c>
      <c r="K5" s="13" t="str">
        <f>+'6. Nomina'!B7</f>
        <v>Producción</v>
      </c>
      <c r="L5" s="13">
        <f>+'6. Nomina'!C7</f>
        <v>2150905</v>
      </c>
      <c r="M5" s="13">
        <f>+'6. Nomina'!D7</f>
        <v>268863.125</v>
      </c>
      <c r="N5" s="13">
        <f>+'6. Nomina'!E7</f>
        <v>344144.8</v>
      </c>
      <c r="O5" s="13">
        <f>+'6. Nomina'!F7</f>
        <v>249095</v>
      </c>
      <c r="P5" s="13">
        <f>+'6. Nomina'!G7</f>
        <v>86036.2</v>
      </c>
      <c r="Q5" s="13">
        <f>+'6. Nomina'!H7</f>
        <v>179170.38649999999</v>
      </c>
      <c r="R5" s="13">
        <f>+'6. Nomina'!I7</f>
        <v>2581.0859999999998</v>
      </c>
      <c r="S5" s="13">
        <f>+'6. Nomina'!J7</f>
        <v>179170.38649999999</v>
      </c>
      <c r="T5" s="13">
        <f>+'6. Nomina'!K7</f>
        <v>11227.724099999999</v>
      </c>
      <c r="U5" s="13">
        <f>+'6. Nomina'!L7</f>
        <v>89692.738500000007</v>
      </c>
      <c r="V5" s="13">
        <f>+'6. Nomina'!M7</f>
        <v>3560886.4466000004</v>
      </c>
      <c r="W5" s="13">
        <f>+'6. Nomina'!N7</f>
        <v>42730637.359200001</v>
      </c>
      <c r="X5" s="50">
        <f>+IF(K5=$D$13,V5,0)</f>
        <v>3560886.4466000004</v>
      </c>
      <c r="Y5" s="50">
        <f>+IF(K5=$D$14,V5,0)</f>
        <v>0</v>
      </c>
      <c r="Z5" s="268">
        <f>+IF(K5=$D$12,V5,0)</f>
        <v>0</v>
      </c>
      <c r="AA5" s="50">
        <f t="shared" ref="AA5:AA7" si="2">+X5*$W$3</f>
        <v>42730637.359200001</v>
      </c>
      <c r="AB5" s="50">
        <f t="shared" ref="AB5:AB7" si="3">+Y5*$W$3</f>
        <v>0</v>
      </c>
      <c r="AC5" s="50">
        <f t="shared" ref="AC5:AC7" si="4">+Z5*$W$3</f>
        <v>0</v>
      </c>
    </row>
    <row r="6" spans="1:29" hidden="1" x14ac:dyDescent="0.25">
      <c r="A6" s="254">
        <v>2023</v>
      </c>
      <c r="B6" s="255">
        <v>9.2799999999999994</v>
      </c>
      <c r="D6" s="14" t="str">
        <f>+'2. Mercado'!A8</f>
        <v>Tarjeta grafica (4060)</v>
      </c>
      <c r="E6" s="257">
        <f>+'2. Mercado'!B8</f>
        <v>2350000</v>
      </c>
      <c r="F6" s="50">
        <f t="shared" si="0"/>
        <v>2507215</v>
      </c>
      <c r="G6" s="50">
        <f t="shared" si="0"/>
        <v>2674947.6834999998</v>
      </c>
      <c r="H6" s="50">
        <f t="shared" si="0"/>
        <v>2853901.68352615</v>
      </c>
      <c r="I6" s="50">
        <f t="shared" si="0"/>
        <v>3044827.7061540494</v>
      </c>
      <c r="K6" s="13" t="str">
        <f>+'6. Nomina'!B8</f>
        <v xml:space="preserve">Ventas </v>
      </c>
      <c r="L6" s="13">
        <f>+'6. Nomina'!C8</f>
        <v>1950905</v>
      </c>
      <c r="M6" s="13">
        <f>+'6. Nomina'!D8</f>
        <v>243863.125</v>
      </c>
      <c r="N6" s="13">
        <f>+'6. Nomina'!E8</f>
        <v>312144.8</v>
      </c>
      <c r="O6" s="13">
        <f>+'6. Nomina'!F8</f>
        <v>249095</v>
      </c>
      <c r="P6" s="13">
        <f>+'6. Nomina'!G8</f>
        <v>78036.2</v>
      </c>
      <c r="Q6" s="13">
        <f>+'6. Nomina'!H8</f>
        <v>162510.38649999999</v>
      </c>
      <c r="R6" s="13">
        <f>+'6. Nomina'!I8</f>
        <v>2341.0859999999998</v>
      </c>
      <c r="S6" s="13">
        <f>+'6. Nomina'!J8</f>
        <v>162510.38649999999</v>
      </c>
      <c r="T6" s="13">
        <f>+'6. Nomina'!K8</f>
        <v>10183.724099999999</v>
      </c>
      <c r="U6" s="13">
        <f>+'6. Nomina'!L8</f>
        <v>81352.738500000007</v>
      </c>
      <c r="V6" s="13">
        <f>+'6. Nomina'!M8</f>
        <v>3252942.4466000004</v>
      </c>
      <c r="W6" s="13">
        <f>+'6. Nomina'!N8</f>
        <v>39035309.359200001</v>
      </c>
      <c r="X6" s="50">
        <f>+IF(K6=$D$13,V6,0)</f>
        <v>0</v>
      </c>
      <c r="Y6" s="50">
        <f>+IF(K6=$D$14,V6,0)</f>
        <v>3252942.4466000004</v>
      </c>
      <c r="Z6" s="268">
        <f>+IF(K6=$D$12,V6,0)</f>
        <v>0</v>
      </c>
      <c r="AA6" s="50">
        <f t="shared" si="2"/>
        <v>0</v>
      </c>
      <c r="AB6" s="50">
        <f t="shared" si="3"/>
        <v>39035309.359200001</v>
      </c>
      <c r="AC6" s="50">
        <f t="shared" si="4"/>
        <v>0</v>
      </c>
    </row>
    <row r="7" spans="1:29" ht="15.75" hidden="1" thickBot="1" x14ac:dyDescent="0.3">
      <c r="B7" s="58">
        <v>6.6900000000000001E-2</v>
      </c>
      <c r="D7" s="14" t="str">
        <f>+'2. Mercado'!A9</f>
        <v>Memoria USB (64gb)</v>
      </c>
      <c r="E7" s="257">
        <f>+'2. Mercado'!B9</f>
        <v>80000</v>
      </c>
      <c r="F7" s="50">
        <f t="shared" si="0"/>
        <v>85352</v>
      </c>
      <c r="G7" s="50">
        <f t="shared" si="0"/>
        <v>91062.048800000004</v>
      </c>
      <c r="H7" s="50">
        <f t="shared" si="0"/>
        <v>97154.099864720003</v>
      </c>
      <c r="I7" s="50">
        <f t="shared" si="0"/>
        <v>103653.70914566977</v>
      </c>
      <c r="K7" s="13">
        <f>+'6. Nomina'!B9</f>
        <v>0</v>
      </c>
      <c r="L7" s="13">
        <f>+'6. Nomina'!C9</f>
        <v>0</v>
      </c>
      <c r="M7" s="13">
        <f>+'6. Nomina'!D9</f>
        <v>0</v>
      </c>
      <c r="N7" s="13">
        <f>+'6. Nomina'!E9</f>
        <v>0</v>
      </c>
      <c r="O7" s="13">
        <f>+'6. Nomina'!F9</f>
        <v>0</v>
      </c>
      <c r="P7" s="13">
        <f>+'6. Nomina'!G9</f>
        <v>0</v>
      </c>
      <c r="Q7" s="13">
        <f>+'6. Nomina'!H9</f>
        <v>0</v>
      </c>
      <c r="R7" s="13">
        <f>+'6. Nomina'!I9</f>
        <v>0</v>
      </c>
      <c r="S7" s="13">
        <f>+'6. Nomina'!J9</f>
        <v>0</v>
      </c>
      <c r="T7" s="13">
        <f>+'6. Nomina'!K9</f>
        <v>0</v>
      </c>
      <c r="U7" s="13">
        <f>+'6. Nomina'!L9</f>
        <v>0</v>
      </c>
      <c r="V7" s="13">
        <f>+'6. Nomina'!M9</f>
        <v>0</v>
      </c>
      <c r="W7" s="13">
        <f>+'6. Nomina'!N9</f>
        <v>0</v>
      </c>
      <c r="X7" s="50">
        <f>+IF(K7=$D$13,V7,0)</f>
        <v>0</v>
      </c>
      <c r="Y7" s="50">
        <f>+IF(K7=$D$14,V7,0)</f>
        <v>0</v>
      </c>
      <c r="Z7" s="268">
        <f>+IF(K7=$D$12,V7,0)</f>
        <v>0</v>
      </c>
      <c r="AA7" s="50">
        <f t="shared" si="2"/>
        <v>0</v>
      </c>
      <c r="AB7" s="50">
        <f t="shared" si="3"/>
        <v>0</v>
      </c>
      <c r="AC7" s="50">
        <f t="shared" si="4"/>
        <v>0</v>
      </c>
    </row>
    <row r="8" spans="1:29" ht="15.75" hidden="1" thickBot="1" x14ac:dyDescent="0.3">
      <c r="K8" s="66"/>
      <c r="L8" s="66">
        <f>SUM(L4:L7)</f>
        <v>7052715</v>
      </c>
      <c r="M8" s="66">
        <f t="shared" ref="M8:W8" si="5">SUM(M4:M7)</f>
        <v>881589.375</v>
      </c>
      <c r="N8" s="66">
        <f t="shared" si="5"/>
        <v>1128434.3999999999</v>
      </c>
      <c r="O8" s="66">
        <f t="shared" si="5"/>
        <v>747285</v>
      </c>
      <c r="P8" s="66">
        <f t="shared" si="5"/>
        <v>282108.59999999998</v>
      </c>
      <c r="Q8" s="66">
        <f t="shared" si="5"/>
        <v>587491.15949999995</v>
      </c>
      <c r="R8" s="66">
        <f t="shared" si="5"/>
        <v>8463.2579999999998</v>
      </c>
      <c r="S8" s="66">
        <f t="shared" si="5"/>
        <v>587491.15949999995</v>
      </c>
      <c r="T8" s="66">
        <f t="shared" si="5"/>
        <v>36815.172299999998</v>
      </c>
      <c r="U8" s="66">
        <f t="shared" si="5"/>
        <v>294098.21550000005</v>
      </c>
      <c r="V8" s="66">
        <f t="shared" si="5"/>
        <v>11606491.3398</v>
      </c>
      <c r="W8" s="66">
        <f t="shared" si="5"/>
        <v>139277896.0776</v>
      </c>
      <c r="X8" s="103">
        <f t="shared" ref="X8:AC8" si="6">SUM(X4:X7)</f>
        <v>3560886.4466000004</v>
      </c>
      <c r="Y8" s="103">
        <f t="shared" si="6"/>
        <v>3252942.4466000004</v>
      </c>
      <c r="Z8" s="269">
        <f t="shared" si="6"/>
        <v>4792662.4466000004</v>
      </c>
      <c r="AA8" s="55">
        <f t="shared" si="6"/>
        <v>42730637.359200001</v>
      </c>
      <c r="AB8" s="55">
        <f t="shared" si="6"/>
        <v>39035309.359200001</v>
      </c>
      <c r="AC8" s="55">
        <f t="shared" si="6"/>
        <v>57511949.359200001</v>
      </c>
    </row>
    <row r="9" spans="1:29" ht="15.75" hidden="1" thickBot="1" x14ac:dyDescent="0.3">
      <c r="A9" s="311" t="s">
        <v>134</v>
      </c>
      <c r="B9" s="311"/>
      <c r="K9" s="258" t="s">
        <v>158</v>
      </c>
      <c r="L9" s="104">
        <f>+'6. Nomina'!I15+'6. Nomina'!I16+'6. Nomina'!I17+'6. Nomina'!I18</f>
        <v>7</v>
      </c>
    </row>
    <row r="10" spans="1:29" ht="26.25" hidden="1" x14ac:dyDescent="0.25">
      <c r="A10" s="259">
        <v>2020</v>
      </c>
      <c r="B10" s="58">
        <v>0.06</v>
      </c>
      <c r="D10" s="309" t="s">
        <v>106</v>
      </c>
      <c r="K10" s="292" t="s">
        <v>159</v>
      </c>
      <c r="L10" s="76">
        <v>250000</v>
      </c>
      <c r="N10" s="94" t="s">
        <v>31</v>
      </c>
      <c r="O10" s="94" t="s">
        <v>32</v>
      </c>
      <c r="P10" s="94" t="s">
        <v>33</v>
      </c>
      <c r="Q10" s="94" t="s">
        <v>34</v>
      </c>
      <c r="R10" s="94" t="s">
        <v>35</v>
      </c>
      <c r="S10" s="94" t="s">
        <v>36</v>
      </c>
      <c r="T10" s="94" t="s">
        <v>37</v>
      </c>
      <c r="U10" s="94" t="s">
        <v>38</v>
      </c>
      <c r="V10" s="94" t="s">
        <v>39</v>
      </c>
      <c r="W10" s="94" t="s">
        <v>40</v>
      </c>
      <c r="X10" s="94" t="s">
        <v>41</v>
      </c>
      <c r="Y10" s="94" t="s">
        <v>42</v>
      </c>
    </row>
    <row r="11" spans="1:29" hidden="1" x14ac:dyDescent="0.25">
      <c r="A11" s="259">
        <v>2021</v>
      </c>
      <c r="B11" s="58">
        <v>3.5000000000000003E-2</v>
      </c>
      <c r="D11" s="310"/>
      <c r="F11" s="15" t="s">
        <v>347</v>
      </c>
      <c r="L11" s="206">
        <f>+L10*L9</f>
        <v>1750000</v>
      </c>
      <c r="N11" s="138"/>
      <c r="O11" s="138"/>
      <c r="P11" s="138"/>
      <c r="Q11" s="55">
        <f>+L10</f>
        <v>250000</v>
      </c>
      <c r="R11" s="138"/>
      <c r="S11" s="138"/>
      <c r="T11" s="138"/>
      <c r="U11" s="55">
        <f>+L10</f>
        <v>250000</v>
      </c>
      <c r="V11" s="138"/>
      <c r="W11" s="138"/>
      <c r="X11" s="138"/>
      <c r="Y11" s="55">
        <f>+L10</f>
        <v>250000</v>
      </c>
    </row>
    <row r="12" spans="1:29" hidden="1" x14ac:dyDescent="0.25">
      <c r="A12" s="259">
        <v>2022</v>
      </c>
      <c r="B12" s="58">
        <v>0.1007</v>
      </c>
      <c r="D12" s="15" t="s">
        <v>107</v>
      </c>
      <c r="F12" s="15" t="s">
        <v>348</v>
      </c>
      <c r="O12" s="206">
        <f>+IF('6. Nomina'!I15+'6. Nomina'!I16+'6. Nomina'!I18=0,"0",DI!L11)</f>
        <v>1750000</v>
      </c>
    </row>
    <row r="13" spans="1:29" ht="15.75" hidden="1" thickBot="1" x14ac:dyDescent="0.3">
      <c r="A13" s="259">
        <v>2023</v>
      </c>
      <c r="B13" s="58">
        <v>0.16</v>
      </c>
      <c r="D13" s="15" t="s">
        <v>108</v>
      </c>
      <c r="F13" s="15" t="s">
        <v>349</v>
      </c>
      <c r="W13" s="277" t="s">
        <v>470</v>
      </c>
      <c r="X13" s="50">
        <f>+X8*12</f>
        <v>42730637.359200001</v>
      </c>
      <c r="Y13" s="50">
        <f t="shared" ref="Y13:Z13" si="7">+Y8*12</f>
        <v>39035309.359200001</v>
      </c>
      <c r="Z13" s="50">
        <f t="shared" si="7"/>
        <v>57511949.359200001</v>
      </c>
    </row>
    <row r="14" spans="1:29" hidden="1" x14ac:dyDescent="0.25">
      <c r="A14" s="259">
        <v>2024</v>
      </c>
      <c r="B14" s="58">
        <v>0.1207</v>
      </c>
      <c r="D14" s="15" t="s">
        <v>109</v>
      </c>
      <c r="F14" s="15" t="s">
        <v>350</v>
      </c>
      <c r="J14" s="15">
        <v>12</v>
      </c>
      <c r="K14" s="15" t="s">
        <v>471</v>
      </c>
      <c r="X14" s="66">
        <f>+X8*$J$16</f>
        <v>42730637.359200001</v>
      </c>
      <c r="Y14" s="66">
        <f>+Y8*$J$16</f>
        <v>39035309.359200001</v>
      </c>
      <c r="Z14" s="66">
        <f>+Z8*$J$16</f>
        <v>57511949.359200001</v>
      </c>
    </row>
    <row r="15" spans="1:29" hidden="1" x14ac:dyDescent="0.25">
      <c r="B15" s="58">
        <f>AVERAGE(B10:B14)</f>
        <v>9.5280000000000004E-2</v>
      </c>
      <c r="J15" s="15">
        <f>+'1. Inversiones'!E3</f>
        <v>0</v>
      </c>
      <c r="K15" s="15" t="s">
        <v>472</v>
      </c>
    </row>
    <row r="16" spans="1:29" hidden="1" x14ac:dyDescent="0.25">
      <c r="C16" s="15">
        <v>1</v>
      </c>
      <c r="D16" s="15" t="s">
        <v>110</v>
      </c>
      <c r="J16" s="15">
        <f>+J14-J15</f>
        <v>12</v>
      </c>
      <c r="K16" s="15" t="s">
        <v>473</v>
      </c>
    </row>
    <row r="17" spans="1:12" hidden="1" x14ac:dyDescent="0.25">
      <c r="C17" s="15">
        <v>2</v>
      </c>
      <c r="D17" s="15" t="s">
        <v>111</v>
      </c>
    </row>
    <row r="18" spans="1:12" hidden="1" x14ac:dyDescent="0.25"/>
    <row r="19" spans="1:12" hidden="1" x14ac:dyDescent="0.25"/>
    <row r="20" spans="1:12" hidden="1" x14ac:dyDescent="0.25">
      <c r="D20" s="76" t="s">
        <v>9</v>
      </c>
    </row>
    <row r="21" spans="1:12" hidden="1" x14ac:dyDescent="0.25">
      <c r="A21" s="15">
        <v>1</v>
      </c>
      <c r="D21" s="76" t="s">
        <v>14</v>
      </c>
      <c r="I21" s="15" t="s">
        <v>416</v>
      </c>
      <c r="J21" s="206">
        <f>+'5. Resumen Ventas Costos'!B62</f>
        <v>1931713400</v>
      </c>
      <c r="K21" s="206">
        <f>+J21/12</f>
        <v>160976116.66666666</v>
      </c>
      <c r="L21" s="206">
        <f>+K21*J16</f>
        <v>1931713400</v>
      </c>
    </row>
    <row r="22" spans="1:12" hidden="1" x14ac:dyDescent="0.25">
      <c r="A22" s="15">
        <v>2</v>
      </c>
      <c r="D22" s="76" t="s">
        <v>15</v>
      </c>
      <c r="I22" s="15" t="s">
        <v>417</v>
      </c>
      <c r="J22" s="206">
        <f>+'6. Nomina'!M10</f>
        <v>11606491.3398</v>
      </c>
      <c r="K22" s="206"/>
      <c r="L22" s="206">
        <f>+J22*J16</f>
        <v>139277896.0776</v>
      </c>
    </row>
    <row r="23" spans="1:12" hidden="1" x14ac:dyDescent="0.25">
      <c r="A23" s="15">
        <v>3</v>
      </c>
      <c r="J23" s="206"/>
      <c r="K23" s="206"/>
      <c r="L23" s="206">
        <f>+L21+L22</f>
        <v>2070991296.0776</v>
      </c>
    </row>
    <row r="24" spans="1:12" hidden="1" x14ac:dyDescent="0.25">
      <c r="J24" s="206"/>
      <c r="K24" s="206"/>
      <c r="L24" s="206"/>
    </row>
    <row r="25" spans="1:12" hidden="1" x14ac:dyDescent="0.25">
      <c r="D25" s="260" t="s">
        <v>133</v>
      </c>
      <c r="I25" s="15" t="s">
        <v>418</v>
      </c>
      <c r="J25" s="206">
        <f>+'7. Costos Fijos'!C28</f>
        <v>28698884.991999999</v>
      </c>
      <c r="K25" s="206">
        <f>+J25/J14</f>
        <v>2391573.7493333332</v>
      </c>
      <c r="L25" s="206">
        <f>+K25*J16</f>
        <v>28698884.991999999</v>
      </c>
    </row>
    <row r="26" spans="1:12" hidden="1" x14ac:dyDescent="0.25">
      <c r="I26" s="169" t="s">
        <v>419</v>
      </c>
      <c r="J26" s="206">
        <f>+'8. Gastos'!C44</f>
        <v>69306678.719999999</v>
      </c>
      <c r="K26" s="206">
        <f>+J26/12</f>
        <v>5775556.5599999996</v>
      </c>
      <c r="L26" s="206">
        <f>+K26*J16</f>
        <v>69306678.719999999</v>
      </c>
    </row>
    <row r="27" spans="1:12" hidden="1" x14ac:dyDescent="0.25">
      <c r="I27" s="169" t="s">
        <v>420</v>
      </c>
      <c r="J27" s="206">
        <f>+'8. Gastos'!C60</f>
        <v>60057318.719999999</v>
      </c>
      <c r="K27" s="206">
        <f>+J27/J16</f>
        <v>5004776.5599999996</v>
      </c>
      <c r="L27" s="206">
        <f>+K27*J16</f>
        <v>60057318.719999999</v>
      </c>
    </row>
    <row r="28" spans="1:12" ht="25.5" hidden="1" x14ac:dyDescent="0.25">
      <c r="D28" s="160" t="s">
        <v>337</v>
      </c>
      <c r="E28" s="161" t="s">
        <v>338</v>
      </c>
      <c r="J28" s="206"/>
      <c r="K28" s="206"/>
      <c r="L28" s="206"/>
    </row>
    <row r="29" spans="1:12" ht="25.5" hidden="1" x14ac:dyDescent="0.25">
      <c r="D29" s="160" t="s">
        <v>339</v>
      </c>
      <c r="E29" s="161" t="s">
        <v>340</v>
      </c>
      <c r="J29" s="206"/>
      <c r="K29" s="206"/>
      <c r="L29" s="206"/>
    </row>
    <row r="30" spans="1:12" ht="25.5" hidden="1" x14ac:dyDescent="0.25">
      <c r="D30" s="160" t="s">
        <v>341</v>
      </c>
      <c r="E30" s="161" t="s">
        <v>342</v>
      </c>
      <c r="J30" s="206"/>
      <c r="K30" s="206"/>
      <c r="L30" s="206"/>
    </row>
    <row r="31" spans="1:12" ht="38.25" hidden="1" x14ac:dyDescent="0.25">
      <c r="D31" s="160" t="s">
        <v>343</v>
      </c>
      <c r="E31" s="161" t="s">
        <v>344</v>
      </c>
    </row>
    <row r="32" spans="1:12" hidden="1" x14ac:dyDescent="0.25"/>
    <row r="33" spans="4:7" hidden="1" x14ac:dyDescent="0.25"/>
    <row r="34" spans="4:7" hidden="1" x14ac:dyDescent="0.25"/>
    <row r="35" spans="4:7" hidden="1" x14ac:dyDescent="0.25"/>
    <row r="36" spans="4:7" hidden="1" x14ac:dyDescent="0.25"/>
    <row r="37" spans="4:7" hidden="1" x14ac:dyDescent="0.25"/>
    <row r="38" spans="4:7" hidden="1" x14ac:dyDescent="0.25"/>
    <row r="39" spans="4:7" hidden="1" x14ac:dyDescent="0.25"/>
    <row r="40" spans="4:7" hidden="1" x14ac:dyDescent="0.25"/>
    <row r="41" spans="4:7" hidden="1" x14ac:dyDescent="0.25"/>
    <row r="42" spans="4:7" hidden="1" x14ac:dyDescent="0.25"/>
    <row r="43" spans="4:7" hidden="1" x14ac:dyDescent="0.25"/>
    <row r="44" spans="4:7" hidden="1" x14ac:dyDescent="0.25"/>
    <row r="45" spans="4:7" hidden="1" x14ac:dyDescent="0.25"/>
    <row r="46" spans="4:7" hidden="1" x14ac:dyDescent="0.25"/>
    <row r="47" spans="4:7" hidden="1" x14ac:dyDescent="0.25">
      <c r="D47" s="261" t="s">
        <v>152</v>
      </c>
      <c r="E47" s="76">
        <v>1750905</v>
      </c>
      <c r="F47" s="15" t="s">
        <v>116</v>
      </c>
      <c r="G47" s="76">
        <v>249095</v>
      </c>
    </row>
    <row r="48" spans="4:7" hidden="1" x14ac:dyDescent="0.25">
      <c r="D48" s="76">
        <f>+(E47*2)-1</f>
        <v>3501809</v>
      </c>
      <c r="E48" s="76">
        <f>+E47+200000</f>
        <v>1950905</v>
      </c>
    </row>
    <row r="49" spans="4:5" hidden="1" x14ac:dyDescent="0.25">
      <c r="D49" s="76">
        <f>+D48+1</f>
        <v>3501810</v>
      </c>
      <c r="E49" s="76">
        <f t="shared" ref="E49:E68" si="8">+E48+200000</f>
        <v>2150905</v>
      </c>
    </row>
    <row r="50" spans="4:5" hidden="1" x14ac:dyDescent="0.25">
      <c r="E50" s="76">
        <f t="shared" si="8"/>
        <v>2350905</v>
      </c>
    </row>
    <row r="51" spans="4:5" hidden="1" x14ac:dyDescent="0.25">
      <c r="E51" s="76">
        <f t="shared" si="8"/>
        <v>2550905</v>
      </c>
    </row>
    <row r="52" spans="4:5" hidden="1" x14ac:dyDescent="0.25">
      <c r="E52" s="76">
        <f t="shared" si="8"/>
        <v>2750905</v>
      </c>
    </row>
    <row r="53" spans="4:5" hidden="1" x14ac:dyDescent="0.25">
      <c r="E53" s="76">
        <f t="shared" si="8"/>
        <v>2950905</v>
      </c>
    </row>
    <row r="54" spans="4:5" hidden="1" x14ac:dyDescent="0.25">
      <c r="E54" s="76">
        <f t="shared" si="8"/>
        <v>3150905</v>
      </c>
    </row>
    <row r="55" spans="4:5" hidden="1" x14ac:dyDescent="0.25">
      <c r="E55" s="76">
        <f t="shared" si="8"/>
        <v>3350905</v>
      </c>
    </row>
    <row r="56" spans="4:5" hidden="1" x14ac:dyDescent="0.25">
      <c r="E56" s="76">
        <f t="shared" si="8"/>
        <v>3550905</v>
      </c>
    </row>
    <row r="57" spans="4:5" hidden="1" x14ac:dyDescent="0.25">
      <c r="E57" s="76">
        <f t="shared" si="8"/>
        <v>3750905</v>
      </c>
    </row>
    <row r="58" spans="4:5" hidden="1" x14ac:dyDescent="0.25">
      <c r="E58" s="76">
        <f t="shared" si="8"/>
        <v>3950905</v>
      </c>
    </row>
    <row r="59" spans="4:5" hidden="1" x14ac:dyDescent="0.25">
      <c r="E59" s="76">
        <f t="shared" si="8"/>
        <v>4150905</v>
      </c>
    </row>
    <row r="60" spans="4:5" hidden="1" x14ac:dyDescent="0.25">
      <c r="E60" s="76">
        <f t="shared" si="8"/>
        <v>4350905</v>
      </c>
    </row>
    <row r="61" spans="4:5" hidden="1" x14ac:dyDescent="0.25">
      <c r="E61" s="76">
        <f t="shared" si="8"/>
        <v>4550905</v>
      </c>
    </row>
    <row r="62" spans="4:5" hidden="1" x14ac:dyDescent="0.25">
      <c r="E62" s="76">
        <f t="shared" si="8"/>
        <v>4750905</v>
      </c>
    </row>
    <row r="63" spans="4:5" hidden="1" x14ac:dyDescent="0.25">
      <c r="E63" s="76">
        <f t="shared" si="8"/>
        <v>4950905</v>
      </c>
    </row>
    <row r="64" spans="4:5" hidden="1" x14ac:dyDescent="0.25">
      <c r="E64" s="76">
        <f t="shared" si="8"/>
        <v>5150905</v>
      </c>
    </row>
    <row r="65" spans="4:9" hidden="1" x14ac:dyDescent="0.25">
      <c r="E65" s="76">
        <f t="shared" si="8"/>
        <v>5350905</v>
      </c>
    </row>
    <row r="66" spans="4:9" hidden="1" x14ac:dyDescent="0.25">
      <c r="E66" s="76">
        <f t="shared" si="8"/>
        <v>5550905</v>
      </c>
    </row>
    <row r="67" spans="4:9" hidden="1" x14ac:dyDescent="0.25">
      <c r="E67" s="76">
        <f t="shared" si="8"/>
        <v>5750905</v>
      </c>
    </row>
    <row r="68" spans="4:9" hidden="1" x14ac:dyDescent="0.25">
      <c r="E68" s="76">
        <f t="shared" si="8"/>
        <v>5950905</v>
      </c>
    </row>
    <row r="69" spans="4:9" hidden="1" x14ac:dyDescent="0.25"/>
    <row r="70" spans="4:9" hidden="1" x14ac:dyDescent="0.25"/>
    <row r="71" spans="4:9" hidden="1" x14ac:dyDescent="0.25"/>
    <row r="72" spans="4:9" hidden="1" x14ac:dyDescent="0.25"/>
    <row r="73" spans="4:9" hidden="1" x14ac:dyDescent="0.25"/>
    <row r="74" spans="4:9" hidden="1" x14ac:dyDescent="0.25"/>
    <row r="75" spans="4:9" hidden="1" x14ac:dyDescent="0.25"/>
    <row r="76" spans="4:9" hidden="1" x14ac:dyDescent="0.25">
      <c r="D76" s="138" t="s">
        <v>180</v>
      </c>
      <c r="E76" s="50">
        <f>+'1. Inversiones'!E41</f>
        <v>98842552</v>
      </c>
      <c r="F76" s="55">
        <f>+F72</f>
        <v>0</v>
      </c>
      <c r="G76" s="139" t="e">
        <f>+E76/F76</f>
        <v>#DIV/0!</v>
      </c>
      <c r="H76" s="138"/>
      <c r="I76" s="50">
        <f>+IF(E76&lt;=F73,F72,(F72*3))</f>
        <v>0</v>
      </c>
    </row>
    <row r="77" spans="4:9" hidden="1" x14ac:dyDescent="0.25">
      <c r="D77" s="138" t="s">
        <v>181</v>
      </c>
      <c r="E77" s="50">
        <f>+E76</f>
        <v>98842552</v>
      </c>
      <c r="F77" s="138">
        <v>48000</v>
      </c>
      <c r="G77" s="57">
        <v>1.9E-3</v>
      </c>
      <c r="H77" s="138"/>
      <c r="I77" s="50">
        <f t="shared" ref="I77:I83" si="9">+E77*G77</f>
        <v>187800.84880000001</v>
      </c>
    </row>
    <row r="78" spans="4:9" hidden="1" x14ac:dyDescent="0.25">
      <c r="D78" s="138" t="s">
        <v>182</v>
      </c>
      <c r="E78" s="50">
        <f t="shared" ref="E78:E83" si="10">+E77</f>
        <v>98842552</v>
      </c>
      <c r="F78" s="138"/>
      <c r="G78" s="57">
        <v>1.9E-3</v>
      </c>
      <c r="H78" s="138"/>
      <c r="I78" s="50">
        <f t="shared" si="9"/>
        <v>187800.84880000001</v>
      </c>
    </row>
    <row r="79" spans="4:9" hidden="1" x14ac:dyDescent="0.25">
      <c r="D79" s="138" t="s">
        <v>183</v>
      </c>
      <c r="E79" s="50">
        <f t="shared" si="10"/>
        <v>98842552</v>
      </c>
      <c r="F79" s="138">
        <v>17000</v>
      </c>
      <c r="G79" s="57">
        <v>5.9999999999999995E-4</v>
      </c>
      <c r="H79" s="138"/>
      <c r="I79" s="50">
        <f t="shared" si="9"/>
        <v>59305.531199999998</v>
      </c>
    </row>
    <row r="80" spans="4:9" hidden="1" x14ac:dyDescent="0.25">
      <c r="D80" s="138" t="s">
        <v>184</v>
      </c>
      <c r="E80" s="50">
        <f t="shared" si="10"/>
        <v>98842552</v>
      </c>
      <c r="F80" s="138"/>
      <c r="G80" s="57">
        <v>5.9999999999999995E-4</v>
      </c>
      <c r="H80" s="138"/>
      <c r="I80" s="50">
        <f t="shared" si="9"/>
        <v>59305.531199999998</v>
      </c>
    </row>
    <row r="81" spans="4:11" hidden="1" x14ac:dyDescent="0.25">
      <c r="D81" s="138" t="s">
        <v>185</v>
      </c>
      <c r="E81" s="50">
        <f t="shared" si="10"/>
        <v>98842552</v>
      </c>
      <c r="F81" s="138"/>
      <c r="G81" s="57">
        <v>5.9999999999999995E-4</v>
      </c>
      <c r="H81" s="138"/>
      <c r="I81" s="50">
        <f t="shared" si="9"/>
        <v>59305.531199999998</v>
      </c>
    </row>
    <row r="82" spans="4:11" hidden="1" x14ac:dyDescent="0.25">
      <c r="D82" s="138" t="s">
        <v>186</v>
      </c>
      <c r="E82" s="50">
        <f t="shared" si="10"/>
        <v>98842552</v>
      </c>
      <c r="F82" s="138"/>
      <c r="G82" s="57">
        <v>1E-3</v>
      </c>
      <c r="H82" s="138"/>
      <c r="I82" s="50">
        <f t="shared" si="9"/>
        <v>98842.551999999996</v>
      </c>
    </row>
    <row r="83" spans="4:11" hidden="1" x14ac:dyDescent="0.25">
      <c r="D83" s="138" t="s">
        <v>237</v>
      </c>
      <c r="E83" s="50">
        <f t="shared" si="10"/>
        <v>98842552</v>
      </c>
      <c r="F83" s="138">
        <v>133200</v>
      </c>
      <c r="G83" s="140">
        <v>5.0299999999999997E-3</v>
      </c>
      <c r="H83" s="138"/>
      <c r="I83" s="50">
        <f t="shared" si="9"/>
        <v>497178.03655999998</v>
      </c>
    </row>
    <row r="84" spans="4:11" hidden="1" x14ac:dyDescent="0.25">
      <c r="D84" s="138" t="s">
        <v>188</v>
      </c>
      <c r="E84" s="138"/>
      <c r="F84" s="138"/>
      <c r="G84" s="138"/>
      <c r="H84" s="138"/>
      <c r="I84" s="50">
        <v>7500</v>
      </c>
    </row>
    <row r="85" spans="4:11" hidden="1" x14ac:dyDescent="0.25"/>
    <row r="86" spans="4:11" hidden="1" x14ac:dyDescent="0.25"/>
    <row r="87" spans="4:11" hidden="1" x14ac:dyDescent="0.25"/>
    <row r="88" spans="4:11" hidden="1" x14ac:dyDescent="0.25"/>
    <row r="89" spans="4:11" hidden="1" x14ac:dyDescent="0.25"/>
    <row r="90" spans="4:11" hidden="1" x14ac:dyDescent="0.25"/>
    <row r="91" spans="4:11" hidden="1" x14ac:dyDescent="0.25"/>
    <row r="92" spans="4:11" hidden="1" x14ac:dyDescent="0.25"/>
    <row r="93" spans="4:11" hidden="1" x14ac:dyDescent="0.25"/>
    <row r="94" spans="4:11" hidden="1" x14ac:dyDescent="0.25">
      <c r="D94" s="5" t="s">
        <v>8</v>
      </c>
      <c r="E94" s="5" t="s">
        <v>1</v>
      </c>
      <c r="F94" s="6" t="s">
        <v>2</v>
      </c>
      <c r="G94" s="5" t="s">
        <v>3</v>
      </c>
      <c r="H94" s="7" t="s">
        <v>4</v>
      </c>
    </row>
    <row r="95" spans="4:11" hidden="1" x14ac:dyDescent="0.25">
      <c r="D95" s="304" t="s">
        <v>7</v>
      </c>
      <c r="E95" s="305"/>
      <c r="F95" s="305"/>
      <c r="G95" s="306"/>
      <c r="H95" s="12">
        <f>+'1. Inversiones'!E21</f>
        <v>36223800</v>
      </c>
      <c r="I95" s="15">
        <v>10</v>
      </c>
      <c r="J95" s="206">
        <f>+H95*0.02</f>
        <v>724476</v>
      </c>
      <c r="K95" s="60">
        <f>+(H95-J95)/5</f>
        <v>7099864.7999999998</v>
      </c>
    </row>
    <row r="96" spans="4:11" hidden="1" x14ac:dyDescent="0.25">
      <c r="D96" s="5" t="s">
        <v>10</v>
      </c>
      <c r="E96" s="5" t="s">
        <v>1</v>
      </c>
      <c r="F96" s="6" t="s">
        <v>2</v>
      </c>
      <c r="G96" s="5" t="s">
        <v>3</v>
      </c>
      <c r="H96" s="7" t="s">
        <v>4</v>
      </c>
    </row>
    <row r="97" spans="4:11" hidden="1" x14ac:dyDescent="0.25">
      <c r="D97" s="304" t="s">
        <v>7</v>
      </c>
      <c r="E97" s="305"/>
      <c r="F97" s="305"/>
      <c r="G97" s="306"/>
      <c r="H97" s="12">
        <f>+'1. Inversiones'!E32</f>
        <v>35641800</v>
      </c>
      <c r="I97" s="15">
        <v>5</v>
      </c>
      <c r="J97" s="206">
        <f>+H97*0.02</f>
        <v>712836</v>
      </c>
      <c r="K97" s="60">
        <f>+(H97-J97)/5</f>
        <v>6985792.7999999998</v>
      </c>
    </row>
    <row r="98" spans="4:11" hidden="1" x14ac:dyDescent="0.25">
      <c r="D98" s="5" t="s">
        <v>11</v>
      </c>
      <c r="E98" s="5" t="s">
        <v>1</v>
      </c>
      <c r="F98" s="6" t="s">
        <v>2</v>
      </c>
      <c r="G98" s="5" t="s">
        <v>3</v>
      </c>
      <c r="H98" s="7" t="s">
        <v>4</v>
      </c>
    </row>
    <row r="99" spans="4:11" hidden="1" x14ac:dyDescent="0.25">
      <c r="D99" s="304" t="s">
        <v>7</v>
      </c>
      <c r="E99" s="305"/>
      <c r="F99" s="305"/>
      <c r="G99" s="306"/>
      <c r="H99" s="12">
        <f>+'1. Inversiones'!E40</f>
        <v>25528000</v>
      </c>
      <c r="I99" s="15">
        <v>2</v>
      </c>
      <c r="J99" s="206">
        <f>+H99*0.02</f>
        <v>510560</v>
      </c>
      <c r="K99" s="60">
        <f>+(H99-J99)/5</f>
        <v>5003488</v>
      </c>
    </row>
    <row r="100" spans="4:11" hidden="1" x14ac:dyDescent="0.25"/>
    <row r="101" spans="4:11" hidden="1" x14ac:dyDescent="0.25">
      <c r="K101" s="60">
        <f>+K95+K97+K99</f>
        <v>19089145.600000001</v>
      </c>
    </row>
    <row r="102" spans="4:11" hidden="1" x14ac:dyDescent="0.25"/>
    <row r="103" spans="4:11" hidden="1" x14ac:dyDescent="0.25"/>
    <row r="104" spans="4:11" hidden="1" x14ac:dyDescent="0.25"/>
    <row r="105" spans="4:11" hidden="1" x14ac:dyDescent="0.25"/>
    <row r="106" spans="4:11" hidden="1" x14ac:dyDescent="0.25"/>
    <row r="107" spans="4:11" hidden="1" x14ac:dyDescent="0.25"/>
    <row r="108" spans="4:11" hidden="1" x14ac:dyDescent="0.25"/>
    <row r="109" spans="4:11" hidden="1" x14ac:dyDescent="0.25"/>
    <row r="110" spans="4:11" hidden="1" x14ac:dyDescent="0.25"/>
    <row r="121" spans="1:3" ht="25.5" hidden="1" x14ac:dyDescent="0.25">
      <c r="A121" s="295" t="s">
        <v>478</v>
      </c>
      <c r="B121" s="295" t="s">
        <v>479</v>
      </c>
      <c r="C121" s="295" t="s">
        <v>480</v>
      </c>
    </row>
    <row r="122" spans="1:3" hidden="1" x14ac:dyDescent="0.25">
      <c r="A122" s="296" t="s">
        <v>481</v>
      </c>
      <c r="B122" s="296" t="s">
        <v>482</v>
      </c>
      <c r="C122" s="287" t="s">
        <v>483</v>
      </c>
    </row>
    <row r="123" spans="1:3" hidden="1" x14ac:dyDescent="0.25">
      <c r="A123" s="296" t="s">
        <v>484</v>
      </c>
      <c r="B123" s="296" t="s">
        <v>485</v>
      </c>
      <c r="C123" s="287" t="s">
        <v>486</v>
      </c>
    </row>
    <row r="124" spans="1:3" hidden="1" x14ac:dyDescent="0.25">
      <c r="A124" s="296" t="s">
        <v>484</v>
      </c>
      <c r="B124" s="296" t="s">
        <v>487</v>
      </c>
      <c r="C124" s="287" t="s">
        <v>488</v>
      </c>
    </row>
    <row r="125" spans="1:3" hidden="1" x14ac:dyDescent="0.25">
      <c r="A125" s="296" t="s">
        <v>484</v>
      </c>
      <c r="B125" s="296" t="s">
        <v>489</v>
      </c>
      <c r="C125" s="287" t="s">
        <v>490</v>
      </c>
    </row>
    <row r="126" spans="1:3" hidden="1" x14ac:dyDescent="0.25">
      <c r="A126" s="296" t="s">
        <v>484</v>
      </c>
      <c r="B126" s="296" t="s">
        <v>491</v>
      </c>
      <c r="C126" s="287" t="s">
        <v>492</v>
      </c>
    </row>
    <row r="127" spans="1:3" hidden="1" x14ac:dyDescent="0.25">
      <c r="A127" s="296" t="s">
        <v>484</v>
      </c>
      <c r="B127" s="296" t="s">
        <v>493</v>
      </c>
      <c r="C127" s="287" t="s">
        <v>494</v>
      </c>
    </row>
    <row r="128" spans="1:3" hidden="1" x14ac:dyDescent="0.25">
      <c r="A128" s="296" t="s">
        <v>484</v>
      </c>
      <c r="B128" s="296" t="s">
        <v>495</v>
      </c>
      <c r="C128" s="287" t="s">
        <v>496</v>
      </c>
    </row>
    <row r="129" spans="1:3" hidden="1" x14ac:dyDescent="0.25">
      <c r="A129" s="296" t="s">
        <v>484</v>
      </c>
      <c r="B129" s="296" t="s">
        <v>497</v>
      </c>
      <c r="C129" s="287" t="s">
        <v>498</v>
      </c>
    </row>
    <row r="130" spans="1:3" hidden="1" x14ac:dyDescent="0.25">
      <c r="A130" s="296" t="s">
        <v>484</v>
      </c>
      <c r="B130" s="296" t="s">
        <v>499</v>
      </c>
      <c r="C130" s="287" t="s">
        <v>500</v>
      </c>
    </row>
    <row r="131" spans="1:3" hidden="1" x14ac:dyDescent="0.25">
      <c r="A131" s="296" t="s">
        <v>484</v>
      </c>
      <c r="B131" s="296" t="s">
        <v>501</v>
      </c>
      <c r="C131" s="287" t="s">
        <v>502</v>
      </c>
    </row>
    <row r="132" spans="1:3" hidden="1" x14ac:dyDescent="0.25">
      <c r="A132" s="296" t="s">
        <v>481</v>
      </c>
      <c r="B132" s="296" t="s">
        <v>503</v>
      </c>
      <c r="C132" s="287" t="s">
        <v>504</v>
      </c>
    </row>
    <row r="133" spans="1:3" hidden="1" x14ac:dyDescent="0.25">
      <c r="A133" s="296" t="s">
        <v>481</v>
      </c>
      <c r="B133" s="296" t="s">
        <v>505</v>
      </c>
      <c r="C133" s="287" t="s">
        <v>506</v>
      </c>
    </row>
    <row r="134" spans="1:3" hidden="1" x14ac:dyDescent="0.25">
      <c r="A134" s="296" t="s">
        <v>484</v>
      </c>
      <c r="B134" s="296" t="s">
        <v>507</v>
      </c>
      <c r="C134" s="287" t="s">
        <v>508</v>
      </c>
    </row>
    <row r="135" spans="1:3" hidden="1" x14ac:dyDescent="0.25">
      <c r="A135" s="296" t="s">
        <v>484</v>
      </c>
      <c r="B135" s="296" t="s">
        <v>509</v>
      </c>
      <c r="C135" s="287" t="s">
        <v>510</v>
      </c>
    </row>
    <row r="136" spans="1:3" hidden="1" x14ac:dyDescent="0.25">
      <c r="A136" s="296" t="s">
        <v>484</v>
      </c>
      <c r="B136" s="296" t="s">
        <v>511</v>
      </c>
      <c r="C136" s="287" t="s">
        <v>512</v>
      </c>
    </row>
    <row r="137" spans="1:3" hidden="1" x14ac:dyDescent="0.25">
      <c r="A137" s="296" t="s">
        <v>481</v>
      </c>
      <c r="B137" s="296" t="s">
        <v>513</v>
      </c>
      <c r="C137" s="287" t="s">
        <v>514</v>
      </c>
    </row>
    <row r="138" spans="1:3" hidden="1" x14ac:dyDescent="0.25">
      <c r="A138" s="296" t="s">
        <v>484</v>
      </c>
      <c r="B138" s="296" t="s">
        <v>515</v>
      </c>
      <c r="C138" s="287" t="s">
        <v>516</v>
      </c>
    </row>
    <row r="139" spans="1:3" hidden="1" x14ac:dyDescent="0.25">
      <c r="A139" s="296" t="s">
        <v>484</v>
      </c>
      <c r="B139" s="296" t="s">
        <v>517</v>
      </c>
      <c r="C139" s="287" t="s">
        <v>518</v>
      </c>
    </row>
    <row r="140" spans="1:3" hidden="1" x14ac:dyDescent="0.25">
      <c r="A140" s="296" t="s">
        <v>484</v>
      </c>
      <c r="B140" s="296" t="s">
        <v>519</v>
      </c>
      <c r="C140" s="287" t="s">
        <v>520</v>
      </c>
    </row>
    <row r="141" spans="1:3" hidden="1" x14ac:dyDescent="0.25">
      <c r="A141" s="296" t="s">
        <v>484</v>
      </c>
      <c r="B141" s="296" t="s">
        <v>521</v>
      </c>
      <c r="C141" s="297" t="s">
        <v>522</v>
      </c>
    </row>
    <row r="142" spans="1:3" hidden="1" x14ac:dyDescent="0.25">
      <c r="A142" s="296" t="s">
        <v>484</v>
      </c>
      <c r="B142" s="296" t="s">
        <v>523</v>
      </c>
      <c r="C142" s="287" t="s">
        <v>524</v>
      </c>
    </row>
    <row r="143" spans="1:3" hidden="1" x14ac:dyDescent="0.25">
      <c r="A143" s="296" t="s">
        <v>484</v>
      </c>
      <c r="B143" s="296" t="s">
        <v>525</v>
      </c>
      <c r="C143" s="287" t="s">
        <v>526</v>
      </c>
    </row>
    <row r="144" spans="1:3" hidden="1" x14ac:dyDescent="0.25">
      <c r="A144" s="296" t="s">
        <v>481</v>
      </c>
      <c r="B144" s="296" t="s">
        <v>527</v>
      </c>
      <c r="C144" s="287" t="s">
        <v>528</v>
      </c>
    </row>
    <row r="145" spans="1:3" hidden="1" x14ac:dyDescent="0.25">
      <c r="A145" s="296" t="s">
        <v>484</v>
      </c>
      <c r="B145" s="296" t="s">
        <v>529</v>
      </c>
      <c r="C145" s="287" t="s">
        <v>530</v>
      </c>
    </row>
    <row r="146" spans="1:3" hidden="1" x14ac:dyDescent="0.25">
      <c r="A146" s="296" t="s">
        <v>481</v>
      </c>
      <c r="B146" s="296" t="s">
        <v>531</v>
      </c>
      <c r="C146" s="287" t="s">
        <v>532</v>
      </c>
    </row>
    <row r="147" spans="1:3" x14ac:dyDescent="0.25">
      <c r="A147" s="296" t="s">
        <v>481</v>
      </c>
      <c r="B147" s="296">
        <v>1084922967</v>
      </c>
      <c r="C147" s="287" t="s">
        <v>533</v>
      </c>
    </row>
    <row r="171" spans="3:4" s="288" customFormat="1" x14ac:dyDescent="0.25"/>
    <row r="172" spans="3:4" s="288" customFormat="1" x14ac:dyDescent="0.25"/>
    <row r="173" spans="3:4" s="288" customFormat="1" x14ac:dyDescent="0.25"/>
    <row r="174" spans="3:4" s="288" customFormat="1" x14ac:dyDescent="0.25"/>
    <row r="175" spans="3:4" s="288" customFormat="1" x14ac:dyDescent="0.25">
      <c r="C175" s="289"/>
      <c r="D175" s="290"/>
    </row>
    <row r="176" spans="3:4" s="288" customFormat="1" x14ac:dyDescent="0.25">
      <c r="C176" s="291"/>
      <c r="D176" s="291"/>
    </row>
    <row r="177" spans="3:4" s="288" customFormat="1" x14ac:dyDescent="0.25">
      <c r="C177" s="291"/>
      <c r="D177" s="291"/>
    </row>
    <row r="178" spans="3:4" s="288" customFormat="1" x14ac:dyDescent="0.25">
      <c r="C178" s="291"/>
      <c r="D178" s="291"/>
    </row>
    <row r="179" spans="3:4" s="288" customFormat="1" x14ac:dyDescent="0.25">
      <c r="C179" s="291"/>
      <c r="D179" s="291"/>
    </row>
    <row r="180" spans="3:4" s="288" customFormat="1" x14ac:dyDescent="0.25">
      <c r="C180" s="291"/>
      <c r="D180" s="291"/>
    </row>
    <row r="181" spans="3:4" s="288" customFormat="1" x14ac:dyDescent="0.25">
      <c r="C181" s="291"/>
      <c r="D181" s="291"/>
    </row>
    <row r="182" spans="3:4" s="288" customFormat="1" x14ac:dyDescent="0.25">
      <c r="C182" s="291"/>
      <c r="D182" s="291"/>
    </row>
    <row r="183" spans="3:4" s="288" customFormat="1" x14ac:dyDescent="0.25">
      <c r="C183" s="291"/>
      <c r="D183" s="291"/>
    </row>
    <row r="184" spans="3:4" s="288" customFormat="1" x14ac:dyDescent="0.25">
      <c r="C184" s="291"/>
      <c r="D184" s="291"/>
    </row>
    <row r="185" spans="3:4" s="288" customFormat="1" x14ac:dyDescent="0.25">
      <c r="C185" s="291"/>
      <c r="D185" s="291"/>
    </row>
    <row r="186" spans="3:4" s="288" customFormat="1" x14ac:dyDescent="0.25">
      <c r="C186" s="291"/>
      <c r="D186" s="291"/>
    </row>
    <row r="187" spans="3:4" s="288" customFormat="1" x14ac:dyDescent="0.25">
      <c r="C187" s="291"/>
      <c r="D187" s="291"/>
    </row>
    <row r="188" spans="3:4" s="288" customFormat="1" x14ac:dyDescent="0.25">
      <c r="C188" s="291"/>
      <c r="D188" s="291"/>
    </row>
    <row r="189" spans="3:4" s="288" customFormat="1" x14ac:dyDescent="0.25">
      <c r="C189" s="291"/>
      <c r="D189" s="291"/>
    </row>
    <row r="190" spans="3:4" s="288" customFormat="1" x14ac:dyDescent="0.25">
      <c r="C190" s="291"/>
      <c r="D190" s="291"/>
    </row>
    <row r="191" spans="3:4" s="288" customFormat="1" x14ac:dyDescent="0.25">
      <c r="C191" s="291"/>
      <c r="D191" s="291"/>
    </row>
    <row r="192" spans="3:4" s="288" customFormat="1" x14ac:dyDescent="0.25">
      <c r="C192" s="291"/>
      <c r="D192" s="291"/>
    </row>
    <row r="193" spans="3:4" s="288" customFormat="1" x14ac:dyDescent="0.25">
      <c r="C193" s="291"/>
      <c r="D193" s="291"/>
    </row>
    <row r="194" spans="3:4" s="288" customFormat="1" x14ac:dyDescent="0.25">
      <c r="C194" s="291"/>
      <c r="D194" s="291"/>
    </row>
    <row r="195" spans="3:4" s="288" customFormat="1" x14ac:dyDescent="0.25">
      <c r="C195" s="291"/>
      <c r="D195" s="291"/>
    </row>
    <row r="196" spans="3:4" s="288" customFormat="1" x14ac:dyDescent="0.25"/>
    <row r="197" spans="3:4" s="288" customFormat="1" x14ac:dyDescent="0.25"/>
    <row r="198" spans="3:4" s="288" customFormat="1" x14ac:dyDescent="0.25"/>
    <row r="199" spans="3:4" s="288" customFormat="1" x14ac:dyDescent="0.25"/>
    <row r="200" spans="3:4" s="288" customFormat="1" x14ac:dyDescent="0.25"/>
    <row r="201" spans="3:4" s="288" customFormat="1" x14ac:dyDescent="0.25"/>
    <row r="202" spans="3:4" s="288" customFormat="1" x14ac:dyDescent="0.25"/>
  </sheetData>
  <sheetProtection algorithmName="SHA-512" hashValue="vr+G6/upuHg1apmh+5RJhYK0e8OxHYRrlFbmHA52eCbjZCb6KkvgcYPil0T45HrnXJDDw6X4gNPRXhRm9/5RVQ==" saltValue="YzRzFKFiUC8s71cur96RmA==" spinCount="100000" sheet="1" objects="1" scenarios="1"/>
  <mergeCells count="9">
    <mergeCell ref="D97:G97"/>
    <mergeCell ref="D99:G99"/>
    <mergeCell ref="V2:V3"/>
    <mergeCell ref="D10:D11"/>
    <mergeCell ref="A9:B9"/>
    <mergeCell ref="K2:K3"/>
    <mergeCell ref="L2:L3"/>
    <mergeCell ref="O2:O3"/>
    <mergeCell ref="D95:G95"/>
  </mergeCells>
  <phoneticPr fontId="11" type="noConversion"/>
  <hyperlinks>
    <hyperlink ref="B3" r:id="rId1" location="cite_note-3" display="https://es.wikipedia.org/wiki/Anexo:Variaci%C3%B3n_de_la_inflaci%C3%B3n_de_Colombia_desde_1946 - cite_note-3" xr:uid="{E5CBB4DA-BF18-4E78-AD1E-438131916A43}"/>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63A97-8493-4595-94B9-205F02C39F23}">
  <sheetPr codeName="Hoja3"/>
  <dimension ref="A1:F17"/>
  <sheetViews>
    <sheetView showGridLines="0" topLeftCell="A3" zoomScale="115" zoomScaleNormal="115" workbookViewId="0">
      <selection activeCell="B6" sqref="B6:D6"/>
    </sheetView>
  </sheetViews>
  <sheetFormatPr baseColWidth="10" defaultColWidth="11" defaultRowHeight="15" x14ac:dyDescent="0.25"/>
  <cols>
    <col min="1" max="1" width="50.42578125" style="15" customWidth="1"/>
    <col min="2" max="2" width="12.28515625" style="15" customWidth="1"/>
    <col min="3" max="3" width="20.7109375" style="15" customWidth="1"/>
    <col min="4" max="4" width="22.5703125" style="15" customWidth="1"/>
    <col min="5" max="5" width="39.7109375" style="15" customWidth="1"/>
    <col min="6" max="6" width="0" style="15" hidden="1" customWidth="1"/>
    <col min="7" max="16384" width="11" style="15"/>
  </cols>
  <sheetData>
    <row r="1" spans="1:6" ht="58.15" customHeight="1" x14ac:dyDescent="0.25">
      <c r="A1" s="301" t="str">
        <f>+CONCATENATE(B6,F4,A12,F4,A13,F4,A14,F4,A16,F4,C16,F4,A17,F4,C17,F4,'V2.1'!A19)</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01"/>
      <c r="C1" s="301"/>
      <c r="D1" s="301"/>
      <c r="E1" s="301"/>
    </row>
    <row r="3" spans="1:6" ht="26.25" x14ac:dyDescent="0.25">
      <c r="A3" s="317" t="s">
        <v>314</v>
      </c>
      <c r="B3" s="317"/>
      <c r="C3" s="317"/>
      <c r="D3" s="317"/>
      <c r="E3" s="317"/>
    </row>
    <row r="4" spans="1:6" ht="18" x14ac:dyDescent="0.25">
      <c r="A4" s="303" t="s">
        <v>476</v>
      </c>
      <c r="B4" s="303"/>
      <c r="C4" s="303"/>
      <c r="D4" s="303"/>
      <c r="E4" s="303"/>
      <c r="F4" s="174" t="s">
        <v>345</v>
      </c>
    </row>
    <row r="5" spans="1:6" ht="15.75" thickBot="1" x14ac:dyDescent="0.3"/>
    <row r="6" spans="1:6" x14ac:dyDescent="0.25">
      <c r="A6" s="164" t="s">
        <v>315</v>
      </c>
      <c r="B6" s="318" t="s">
        <v>537</v>
      </c>
      <c r="C6" s="318"/>
      <c r="D6" s="318"/>
    </row>
    <row r="7" spans="1:6" ht="15.75" thickBot="1" x14ac:dyDescent="0.3"/>
    <row r="8" spans="1:6" x14ac:dyDescent="0.25">
      <c r="A8" s="164" t="s">
        <v>316</v>
      </c>
      <c r="B8" s="319">
        <v>46165</v>
      </c>
      <c r="C8" s="320"/>
    </row>
    <row r="10" spans="1:6" ht="18.75" x14ac:dyDescent="0.3">
      <c r="A10" s="321"/>
      <c r="B10" s="321"/>
      <c r="C10" s="321"/>
      <c r="D10" s="321"/>
      <c r="E10" s="321"/>
    </row>
    <row r="11" spans="1:6" x14ac:dyDescent="0.25">
      <c r="A11" s="175" t="s">
        <v>317</v>
      </c>
      <c r="B11" s="175" t="s">
        <v>318</v>
      </c>
      <c r="C11" s="175" t="s">
        <v>319</v>
      </c>
      <c r="D11" s="175" t="s">
        <v>320</v>
      </c>
      <c r="E11" s="175" t="s">
        <v>321</v>
      </c>
    </row>
    <row r="12" spans="1:6" x14ac:dyDescent="0.25">
      <c r="A12" s="170" t="s">
        <v>512</v>
      </c>
      <c r="B12" s="170" t="s">
        <v>484</v>
      </c>
      <c r="C12" s="177" t="s">
        <v>511</v>
      </c>
      <c r="D12" s="177">
        <v>3142703700</v>
      </c>
      <c r="E12" s="298" t="s">
        <v>535</v>
      </c>
    </row>
    <row r="13" spans="1:6" x14ac:dyDescent="0.25">
      <c r="A13" s="170" t="s">
        <v>498</v>
      </c>
      <c r="B13" s="170" t="s">
        <v>481</v>
      </c>
      <c r="C13" s="177" t="s">
        <v>497</v>
      </c>
      <c r="D13" s="177">
        <v>3234689690</v>
      </c>
      <c r="E13" s="298" t="s">
        <v>536</v>
      </c>
    </row>
    <row r="14" spans="1:6" hidden="1" x14ac:dyDescent="0.25">
      <c r="A14" s="170"/>
      <c r="B14" s="170"/>
      <c r="C14" s="177"/>
      <c r="D14" s="177"/>
      <c r="E14" s="170"/>
    </row>
    <row r="15" spans="1:6" x14ac:dyDescent="0.25">
      <c r="A15" s="165"/>
      <c r="B15" s="165"/>
      <c r="C15" s="165"/>
      <c r="D15" s="165"/>
      <c r="E15" s="165"/>
    </row>
    <row r="16" spans="1:6" x14ac:dyDescent="0.25">
      <c r="A16" s="322" t="s">
        <v>322</v>
      </c>
      <c r="B16" s="322"/>
      <c r="C16" s="323" t="s">
        <v>534</v>
      </c>
      <c r="D16" s="323"/>
      <c r="E16" s="323"/>
    </row>
    <row r="17" spans="1:5" x14ac:dyDescent="0.25">
      <c r="A17" s="315" t="s">
        <v>323</v>
      </c>
      <c r="B17" s="316"/>
      <c r="C17" s="157">
        <v>3413988</v>
      </c>
      <c r="D17" s="176" t="s">
        <v>324</v>
      </c>
      <c r="E17" s="158" t="s">
        <v>348</v>
      </c>
    </row>
  </sheetData>
  <mergeCells count="9">
    <mergeCell ref="A17:B17"/>
    <mergeCell ref="A1:E1"/>
    <mergeCell ref="A3:E3"/>
    <mergeCell ref="A4:E4"/>
    <mergeCell ref="B6:D6"/>
    <mergeCell ref="B8:C8"/>
    <mergeCell ref="A10:E10"/>
    <mergeCell ref="A16:B16"/>
    <mergeCell ref="C16:E16"/>
  </mergeCells>
  <hyperlinks>
    <hyperlink ref="E12" r:id="rId1" xr:uid="{DD1CFB80-8CE5-4116-AD26-7867D1A165A4}"/>
    <hyperlink ref="E13" r:id="rId2" xr:uid="{6BF3A1C8-9AB5-497F-9DA6-EF0372778028}"/>
  </hyperlinks>
  <pageMargins left="0.7" right="0.7" top="0.75" bottom="0.75" header="0.3" footer="0.3"/>
  <pageSetup paperSize="9" orientation="portrait" horizontalDpi="0" verticalDpi="0" r:id="rId3"/>
  <extLst>
    <ext xmlns:x14="http://schemas.microsoft.com/office/spreadsheetml/2009/9/main" uri="{CCE6A557-97BC-4b89-ADB6-D9C93CAAB3DF}">
      <x14:dataValidations xmlns:xm="http://schemas.microsoft.com/office/excel/2006/main" count="4">
        <x14:dataValidation type="list" allowBlank="1" showInputMessage="1" showErrorMessage="1" xr:uid="{73668295-4943-44E6-A6EC-EA7267A665D8}">
          <x14:formula1>
            <xm:f>DI!$D$28:$D$31</xm:f>
          </x14:formula1>
          <xm:sqref>B12:B14</xm:sqref>
        </x14:dataValidation>
        <x14:dataValidation type="list" allowBlank="1" showInputMessage="1" showErrorMessage="1" xr:uid="{692A5D49-F445-4A0A-AD4C-01F90F05B5B5}">
          <x14:formula1>
            <xm:f>DI!$F$11:$F$14</xm:f>
          </x14:formula1>
          <xm:sqref>E17</xm:sqref>
        </x14:dataValidation>
        <x14:dataValidation type="list" allowBlank="1" showInputMessage="1" showErrorMessage="1" xr:uid="{88502B3C-FBDA-4296-AAEE-A0E4BE3BBAFF}">
          <x14:formula1>
            <xm:f>DI!$C$122:$C$147</xm:f>
          </x14:formula1>
          <xm:sqref>A12:A14</xm:sqref>
        </x14:dataValidation>
        <x14:dataValidation type="list" allowBlank="1" showInputMessage="1" showErrorMessage="1" xr:uid="{AFF2EAC5-CC18-4D01-A9E3-F8B7FFB2ED76}">
          <x14:formula1>
            <xm:f>DI!$B$122:$B$147</xm:f>
          </x14:formula1>
          <xm:sqref>C12:C14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811A8-634A-4FC1-AE30-909D0D3017B9}">
  <sheetPr codeName="Hoja4">
    <tabColor theme="9" tint="0.39997558519241921"/>
  </sheetPr>
  <dimension ref="A1:J21"/>
  <sheetViews>
    <sheetView showGridLines="0" zoomScale="130" zoomScaleNormal="130" workbookViewId="0">
      <selection sqref="A1:J1"/>
    </sheetView>
  </sheetViews>
  <sheetFormatPr baseColWidth="10" defaultColWidth="11.42578125" defaultRowHeight="15" x14ac:dyDescent="0.25"/>
  <cols>
    <col min="1" max="1" width="4.5703125" style="149" customWidth="1"/>
    <col min="2" max="2" width="5.5703125" style="149" customWidth="1"/>
    <col min="3" max="9" width="11.42578125" style="149"/>
    <col min="10" max="10" width="16.42578125" style="149" customWidth="1"/>
    <col min="11" max="16384" width="11.42578125" style="149"/>
  </cols>
  <sheetData>
    <row r="1" spans="1:10" ht="15.75" x14ac:dyDescent="0.25">
      <c r="A1" s="327" t="s">
        <v>246</v>
      </c>
      <c r="B1" s="328"/>
      <c r="C1" s="328"/>
      <c r="D1" s="328"/>
      <c r="E1" s="328"/>
      <c r="F1" s="328"/>
      <c r="G1" s="328"/>
      <c r="H1" s="328"/>
      <c r="I1" s="328"/>
      <c r="J1" s="328"/>
    </row>
    <row r="3" spans="1:10" x14ac:dyDescent="0.25">
      <c r="A3" s="325" t="s">
        <v>247</v>
      </c>
      <c r="B3" s="325"/>
      <c r="C3" s="325"/>
      <c r="D3" s="325"/>
      <c r="E3" s="325"/>
      <c r="F3" s="325"/>
      <c r="G3" s="325"/>
      <c r="H3" s="325"/>
      <c r="I3" s="325"/>
      <c r="J3" s="325"/>
    </row>
    <row r="4" spans="1:10" x14ac:dyDescent="0.25">
      <c r="A4" s="325" t="s">
        <v>248</v>
      </c>
      <c r="B4" s="325"/>
      <c r="C4" s="325"/>
      <c r="D4" s="325"/>
      <c r="E4" s="325"/>
      <c r="F4" s="325"/>
      <c r="G4" s="325"/>
      <c r="H4" s="325"/>
      <c r="I4" s="325"/>
      <c r="J4" s="325"/>
    </row>
    <row r="6" spans="1:10" x14ac:dyDescent="0.25">
      <c r="B6" s="149" t="s">
        <v>249</v>
      </c>
      <c r="C6" s="326" t="s">
        <v>250</v>
      </c>
      <c r="D6" s="326"/>
      <c r="E6" s="326"/>
      <c r="F6" s="326"/>
      <c r="G6" s="326"/>
      <c r="H6" s="326"/>
      <c r="I6" s="326"/>
      <c r="J6" s="326"/>
    </row>
    <row r="7" spans="1:10" ht="44.25" customHeight="1" x14ac:dyDescent="0.25">
      <c r="B7" s="149" t="s">
        <v>251</v>
      </c>
      <c r="C7" s="324" t="s">
        <v>252</v>
      </c>
      <c r="D7" s="324"/>
      <c r="E7" s="324"/>
      <c r="F7" s="324"/>
      <c r="G7" s="324"/>
      <c r="H7" s="324"/>
      <c r="I7" s="324"/>
      <c r="J7" s="324"/>
    </row>
    <row r="8" spans="1:10" ht="44.25" customHeight="1" x14ac:dyDescent="0.25">
      <c r="B8" s="149" t="s">
        <v>253</v>
      </c>
      <c r="C8" s="324" t="s">
        <v>254</v>
      </c>
      <c r="D8" s="324"/>
      <c r="E8" s="324"/>
      <c r="F8" s="324"/>
      <c r="G8" s="324"/>
      <c r="H8" s="324"/>
      <c r="I8" s="324"/>
      <c r="J8" s="324"/>
    </row>
    <row r="9" spans="1:10" ht="44.25" customHeight="1" x14ac:dyDescent="0.25">
      <c r="B9" s="149" t="s">
        <v>255</v>
      </c>
      <c r="C9" s="324" t="s">
        <v>256</v>
      </c>
      <c r="D9" s="324"/>
      <c r="E9" s="324"/>
      <c r="F9" s="324"/>
      <c r="G9" s="324"/>
      <c r="H9" s="324"/>
      <c r="I9" s="324"/>
      <c r="J9" s="324"/>
    </row>
    <row r="10" spans="1:10" ht="44.25" customHeight="1" x14ac:dyDescent="0.25">
      <c r="B10" s="149" t="s">
        <v>257</v>
      </c>
      <c r="C10" s="324" t="s">
        <v>258</v>
      </c>
      <c r="D10" s="324"/>
      <c r="E10" s="324"/>
      <c r="F10" s="324"/>
      <c r="G10" s="324"/>
      <c r="H10" s="324"/>
      <c r="I10" s="324"/>
      <c r="J10" s="324"/>
    </row>
    <row r="11" spans="1:10" ht="44.25" customHeight="1" x14ac:dyDescent="0.25">
      <c r="B11" s="149" t="s">
        <v>259</v>
      </c>
      <c r="C11" s="324" t="s">
        <v>260</v>
      </c>
      <c r="D11" s="324"/>
      <c r="E11" s="324"/>
      <c r="F11" s="324"/>
      <c r="G11" s="324"/>
      <c r="H11" s="324"/>
      <c r="I11" s="324"/>
      <c r="J11" s="324"/>
    </row>
    <row r="12" spans="1:10" x14ac:dyDescent="0.25">
      <c r="C12" s="324"/>
      <c r="D12" s="324"/>
      <c r="E12" s="324"/>
      <c r="F12" s="324"/>
      <c r="G12" s="324"/>
      <c r="H12" s="324"/>
      <c r="I12" s="324"/>
      <c r="J12" s="324"/>
    </row>
    <row r="13" spans="1:10" x14ac:dyDescent="0.25">
      <c r="C13" s="324"/>
      <c r="D13" s="324"/>
      <c r="E13" s="324"/>
      <c r="F13" s="324"/>
      <c r="G13" s="324"/>
      <c r="H13" s="324"/>
      <c r="I13" s="324"/>
      <c r="J13" s="324"/>
    </row>
    <row r="14" spans="1:10" x14ac:dyDescent="0.25">
      <c r="C14" s="324"/>
      <c r="D14" s="324"/>
      <c r="E14" s="324"/>
      <c r="F14" s="324"/>
      <c r="G14" s="324"/>
      <c r="H14" s="324"/>
      <c r="I14" s="324"/>
      <c r="J14" s="324"/>
    </row>
    <row r="15" spans="1:10" x14ac:dyDescent="0.25">
      <c r="C15" s="324"/>
      <c r="D15" s="324"/>
      <c r="E15" s="324"/>
      <c r="F15" s="324"/>
      <c r="G15" s="324"/>
      <c r="H15" s="324"/>
      <c r="I15" s="324"/>
      <c r="J15" s="324"/>
    </row>
    <row r="16" spans="1:10" x14ac:dyDescent="0.25">
      <c r="C16" s="324"/>
      <c r="D16" s="324"/>
      <c r="E16" s="324"/>
      <c r="F16" s="324"/>
      <c r="G16" s="324"/>
      <c r="H16" s="324"/>
      <c r="I16" s="324"/>
      <c r="J16" s="324"/>
    </row>
    <row r="17" spans="3:10" x14ac:dyDescent="0.25">
      <c r="C17" s="324"/>
      <c r="D17" s="324"/>
      <c r="E17" s="324"/>
      <c r="F17" s="324"/>
      <c r="G17" s="324"/>
      <c r="H17" s="324"/>
      <c r="I17" s="324"/>
      <c r="J17" s="324"/>
    </row>
    <row r="18" spans="3:10" x14ac:dyDescent="0.25">
      <c r="C18" s="324"/>
      <c r="D18" s="324"/>
      <c r="E18" s="324"/>
      <c r="F18" s="324"/>
      <c r="G18" s="324"/>
      <c r="H18" s="324"/>
      <c r="I18" s="324"/>
      <c r="J18" s="324"/>
    </row>
    <row r="19" spans="3:10" x14ac:dyDescent="0.25">
      <c r="C19" s="324"/>
      <c r="D19" s="324"/>
      <c r="E19" s="324"/>
      <c r="F19" s="324"/>
      <c r="G19" s="324"/>
      <c r="H19" s="324"/>
      <c r="I19" s="324"/>
      <c r="J19" s="324"/>
    </row>
    <row r="20" spans="3:10" x14ac:dyDescent="0.25">
      <c r="C20" s="324"/>
      <c r="D20" s="324"/>
      <c r="E20" s="324"/>
      <c r="F20" s="324"/>
      <c r="G20" s="324"/>
      <c r="H20" s="324"/>
      <c r="I20" s="324"/>
      <c r="J20" s="324"/>
    </row>
    <row r="21" spans="3:10" x14ac:dyDescent="0.25">
      <c r="C21" s="324"/>
      <c r="D21" s="324"/>
      <c r="E21" s="324"/>
      <c r="F21" s="324"/>
      <c r="G21" s="324"/>
      <c r="H21" s="324"/>
      <c r="I21" s="324"/>
      <c r="J21" s="324"/>
    </row>
  </sheetData>
  <sheetProtection algorithmName="SHA-512" hashValue="Fl4tp1z3MrIiaxsYeG8GtCKZXxF1DiEXu/1KNDYMpbrVmTdxHCdhovnABEtb3Zw4MWxoAFVPjY20fqPKy8s7ig==" saltValue="lonuoKxXh+XS10jNOKayxA==" spinCount="100000" sheet="1" objects="1" scenarios="1"/>
  <mergeCells count="19">
    <mergeCell ref="C21:J21"/>
    <mergeCell ref="A1:J1"/>
    <mergeCell ref="C15:J15"/>
    <mergeCell ref="C16:J16"/>
    <mergeCell ref="C17:J17"/>
    <mergeCell ref="C18:J18"/>
    <mergeCell ref="C19:J19"/>
    <mergeCell ref="C20:J20"/>
    <mergeCell ref="C9:J9"/>
    <mergeCell ref="C10:J10"/>
    <mergeCell ref="C11:J11"/>
    <mergeCell ref="C12:J12"/>
    <mergeCell ref="C13:J13"/>
    <mergeCell ref="C14:J14"/>
    <mergeCell ref="A3:J3"/>
    <mergeCell ref="A4:J4"/>
    <mergeCell ref="C6:J6"/>
    <mergeCell ref="C7:J7"/>
    <mergeCell ref="C8:J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3FCA5-E664-4987-B6ED-F16F490AE9F5}">
  <sheetPr codeName="Hoja5">
    <tabColor theme="9" tint="0.39997558519241921"/>
  </sheetPr>
  <dimension ref="A1:C53"/>
  <sheetViews>
    <sheetView showGridLines="0" workbookViewId="0">
      <selection activeCell="B13" sqref="B13"/>
    </sheetView>
  </sheetViews>
  <sheetFormatPr baseColWidth="10" defaultColWidth="11.42578125" defaultRowHeight="15.75" x14ac:dyDescent="0.25"/>
  <cols>
    <col min="1" max="1" width="20" style="156" customWidth="1"/>
    <col min="2" max="2" width="90.42578125" style="149" customWidth="1"/>
    <col min="3" max="16384" width="11.42578125" style="149"/>
  </cols>
  <sheetData>
    <row r="1" spans="1:2" ht="31.15" customHeight="1" x14ac:dyDescent="0.25">
      <c r="A1" s="329" t="s">
        <v>261</v>
      </c>
      <c r="B1" s="330"/>
    </row>
    <row r="3" spans="1:2" ht="75" x14ac:dyDescent="0.25">
      <c r="A3" s="151" t="s">
        <v>262</v>
      </c>
      <c r="B3" s="152" t="s">
        <v>263</v>
      </c>
    </row>
    <row r="5" spans="1:2" ht="45" x14ac:dyDescent="0.25">
      <c r="A5" s="151" t="s">
        <v>264</v>
      </c>
      <c r="B5" s="152" t="s">
        <v>265</v>
      </c>
    </row>
    <row r="7" spans="1:2" ht="45" x14ac:dyDescent="0.25">
      <c r="A7" s="151" t="s">
        <v>266</v>
      </c>
      <c r="B7" s="153" t="s">
        <v>267</v>
      </c>
    </row>
    <row r="9" spans="1:2" ht="45" x14ac:dyDescent="0.25">
      <c r="A9" s="151" t="s">
        <v>268</v>
      </c>
      <c r="B9" s="153" t="s">
        <v>269</v>
      </c>
    </row>
    <row r="11" spans="1:2" ht="105" x14ac:dyDescent="0.25">
      <c r="A11" s="151" t="s">
        <v>270</v>
      </c>
      <c r="B11" s="153" t="s">
        <v>271</v>
      </c>
    </row>
    <row r="13" spans="1:2" ht="90" x14ac:dyDescent="0.25">
      <c r="A13" s="151" t="s">
        <v>272</v>
      </c>
      <c r="B13" s="153" t="s">
        <v>273</v>
      </c>
    </row>
    <row r="15" spans="1:2" ht="31.5" x14ac:dyDescent="0.25">
      <c r="A15" s="151" t="s">
        <v>274</v>
      </c>
      <c r="B15" s="153" t="s">
        <v>275</v>
      </c>
    </row>
    <row r="17" spans="1:3" x14ac:dyDescent="0.25">
      <c r="A17" s="151" t="s">
        <v>276</v>
      </c>
      <c r="B17" s="153" t="s">
        <v>277</v>
      </c>
    </row>
    <row r="19" spans="1:3" ht="90" x14ac:dyDescent="0.25">
      <c r="A19" s="151" t="s">
        <v>278</v>
      </c>
      <c r="B19" s="153" t="s">
        <v>279</v>
      </c>
    </row>
    <row r="21" spans="1:3" ht="60" x14ac:dyDescent="0.25">
      <c r="A21" s="151" t="s">
        <v>280</v>
      </c>
      <c r="B21" s="153" t="s">
        <v>281</v>
      </c>
    </row>
    <row r="23" spans="1:3" ht="60" x14ac:dyDescent="0.25">
      <c r="A23" s="151" t="s">
        <v>282</v>
      </c>
      <c r="B23" s="153" t="s">
        <v>283</v>
      </c>
    </row>
    <row r="25" spans="1:3" ht="52.9" customHeight="1" x14ac:dyDescent="0.25">
      <c r="A25" s="154" t="s">
        <v>284</v>
      </c>
      <c r="B25" s="155" t="s">
        <v>285</v>
      </c>
      <c r="C25" s="15"/>
    </row>
    <row r="27" spans="1:3" ht="45" x14ac:dyDescent="0.25">
      <c r="A27" s="151" t="s">
        <v>286</v>
      </c>
      <c r="B27" s="153" t="s">
        <v>287</v>
      </c>
    </row>
    <row r="29" spans="1:3" ht="75" x14ac:dyDescent="0.25">
      <c r="A29" s="151" t="s">
        <v>288</v>
      </c>
      <c r="B29" s="152" t="s">
        <v>289</v>
      </c>
    </row>
    <row r="30" spans="1:3" x14ac:dyDescent="0.25">
      <c r="B30" s="150"/>
    </row>
    <row r="31" spans="1:3" ht="60" x14ac:dyDescent="0.25">
      <c r="A31" s="151" t="s">
        <v>290</v>
      </c>
      <c r="B31" s="153" t="s">
        <v>291</v>
      </c>
    </row>
    <row r="32" spans="1:3" x14ac:dyDescent="0.25">
      <c r="B32" s="150"/>
    </row>
    <row r="33" spans="1:2" ht="31.5" x14ac:dyDescent="0.25">
      <c r="A33" s="151" t="s">
        <v>292</v>
      </c>
      <c r="B33" s="153" t="s">
        <v>293</v>
      </c>
    </row>
    <row r="35" spans="1:2" ht="60" x14ac:dyDescent="0.25">
      <c r="A35" s="151" t="s">
        <v>294</v>
      </c>
      <c r="B35" s="153" t="s">
        <v>295</v>
      </c>
    </row>
    <row r="37" spans="1:2" ht="45" x14ac:dyDescent="0.25">
      <c r="A37" s="151" t="s">
        <v>296</v>
      </c>
      <c r="B37" s="153" t="s">
        <v>297</v>
      </c>
    </row>
    <row r="39" spans="1:2" ht="45" x14ac:dyDescent="0.25">
      <c r="A39" s="151" t="s">
        <v>298</v>
      </c>
      <c r="B39" s="153" t="s">
        <v>299</v>
      </c>
    </row>
    <row r="41" spans="1:2" ht="45" x14ac:dyDescent="0.25">
      <c r="A41" s="151" t="s">
        <v>300</v>
      </c>
      <c r="B41" s="153" t="s">
        <v>301</v>
      </c>
    </row>
    <row r="43" spans="1:2" ht="30" x14ac:dyDescent="0.25">
      <c r="A43" s="151" t="s">
        <v>302</v>
      </c>
      <c r="B43" s="153" t="s">
        <v>303</v>
      </c>
    </row>
    <row r="45" spans="1:2" x14ac:dyDescent="0.25">
      <c r="A45" s="151" t="s">
        <v>304</v>
      </c>
      <c r="B45" s="153" t="s">
        <v>305</v>
      </c>
    </row>
    <row r="47" spans="1:2" ht="30" x14ac:dyDescent="0.25">
      <c r="A47" s="151" t="s">
        <v>306</v>
      </c>
      <c r="B47" s="153" t="s">
        <v>307</v>
      </c>
    </row>
    <row r="49" spans="1:2" ht="30" x14ac:dyDescent="0.25">
      <c r="A49" s="151" t="s">
        <v>308</v>
      </c>
      <c r="B49" s="153" t="s">
        <v>309</v>
      </c>
    </row>
    <row r="51" spans="1:2" ht="60" x14ac:dyDescent="0.25">
      <c r="A51" s="151" t="s">
        <v>310</v>
      </c>
      <c r="B51" s="153" t="s">
        <v>311</v>
      </c>
    </row>
    <row r="53" spans="1:2" ht="60" x14ac:dyDescent="0.25">
      <c r="A53" s="151" t="s">
        <v>312</v>
      </c>
      <c r="B53" s="153" t="s">
        <v>313</v>
      </c>
    </row>
  </sheetData>
  <sheetProtection algorithmName="SHA-512" hashValue="JX0LNztau+v9HkWCIvTTpGRBy4rFTNPczoM/1AaeOmf84UrGjGDVBDTuGm3PwMfv4F4LvZomo1GMpPReauuQgA==" saltValue="W3LUHFZdxXGowf9m8vYyDA==" spinCount="100000" sheet="1" objects="1" scenarios="1"/>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1FF03-08BF-4167-A654-8D2992BE6416}">
  <sheetPr codeName="Hoja6"/>
  <dimension ref="A1:F41"/>
  <sheetViews>
    <sheetView showGridLines="0" workbookViewId="0">
      <selection activeCell="D10" sqref="D10"/>
    </sheetView>
  </sheetViews>
  <sheetFormatPr baseColWidth="10" defaultColWidth="11" defaultRowHeight="15" x14ac:dyDescent="0.25"/>
  <cols>
    <col min="1" max="1" width="50.42578125" style="15" customWidth="1"/>
    <col min="2" max="2" width="20" style="15" customWidth="1"/>
    <col min="3" max="3" width="11" style="15"/>
    <col min="4" max="4" width="17.42578125" style="15" customWidth="1"/>
    <col min="5" max="5" width="17.28515625" style="15" customWidth="1"/>
    <col min="6" max="16384" width="11" style="15"/>
  </cols>
  <sheetData>
    <row r="1" spans="1:6" ht="72" customHeight="1" x14ac:dyDescent="0.25">
      <c r="A1" s="301" t="str">
        <f>+'Datos Aprendiz'!A1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01"/>
      <c r="C1" s="301"/>
      <c r="D1" s="301"/>
      <c r="E1" s="301"/>
    </row>
    <row r="3" spans="1:6" ht="34.5" customHeight="1" x14ac:dyDescent="0.25">
      <c r="A3" s="334" t="s">
        <v>232</v>
      </c>
      <c r="B3" s="335"/>
      <c r="C3" s="335"/>
      <c r="D3" s="336"/>
      <c r="E3" s="134"/>
      <c r="F3" s="135" t="s">
        <v>233</v>
      </c>
    </row>
    <row r="5" spans="1:6" x14ac:dyDescent="0.25">
      <c r="A5" s="1" t="s">
        <v>13</v>
      </c>
      <c r="B5" s="2"/>
      <c r="C5" s="3"/>
      <c r="D5" s="2"/>
      <c r="E5" s="4"/>
    </row>
    <row r="6" spans="1:6" x14ac:dyDescent="0.25">
      <c r="A6" s="5" t="s">
        <v>0</v>
      </c>
      <c r="B6" s="5" t="s">
        <v>1</v>
      </c>
      <c r="C6" s="6" t="s">
        <v>2</v>
      </c>
      <c r="D6" s="5" t="s">
        <v>3</v>
      </c>
      <c r="E6" s="7" t="s">
        <v>4</v>
      </c>
    </row>
    <row r="7" spans="1:6" x14ac:dyDescent="0.25">
      <c r="A7" s="162" t="s">
        <v>5</v>
      </c>
      <c r="B7" s="81" t="s">
        <v>6</v>
      </c>
      <c r="C7" s="114">
        <v>1</v>
      </c>
      <c r="D7" s="81">
        <f>+E21*0.04</f>
        <v>1448952</v>
      </c>
      <c r="E7" s="11">
        <f>+C7*D7</f>
        <v>1448952</v>
      </c>
    </row>
    <row r="8" spans="1:6" x14ac:dyDescent="0.25">
      <c r="A8" s="304" t="s">
        <v>7</v>
      </c>
      <c r="B8" s="305"/>
      <c r="C8" s="305"/>
      <c r="D8" s="306"/>
      <c r="E8" s="12">
        <f>+E7</f>
        <v>1448952</v>
      </c>
    </row>
    <row r="9" spans="1:6" x14ac:dyDescent="0.25">
      <c r="A9" s="5" t="s">
        <v>8</v>
      </c>
      <c r="B9" s="5" t="s">
        <v>1</v>
      </c>
      <c r="C9" s="6" t="s">
        <v>2</v>
      </c>
      <c r="D9" s="5" t="s">
        <v>3</v>
      </c>
      <c r="E9" s="7" t="s">
        <v>4</v>
      </c>
    </row>
    <row r="10" spans="1:6" x14ac:dyDescent="0.25">
      <c r="A10" s="63" t="s">
        <v>538</v>
      </c>
      <c r="B10" s="63" t="s">
        <v>15</v>
      </c>
      <c r="C10" s="163">
        <v>2</v>
      </c>
      <c r="D10" s="63">
        <v>2381900</v>
      </c>
      <c r="E10" s="11">
        <f>+C10*D10</f>
        <v>4763800</v>
      </c>
    </row>
    <row r="11" spans="1:6" x14ac:dyDescent="0.25">
      <c r="A11" s="63" t="s">
        <v>539</v>
      </c>
      <c r="B11" s="63" t="s">
        <v>15</v>
      </c>
      <c r="C11" s="163">
        <v>1</v>
      </c>
      <c r="D11" s="63">
        <v>1500000</v>
      </c>
      <c r="E11" s="11">
        <f t="shared" ref="E11:E20" si="0">+C11*D11</f>
        <v>1500000</v>
      </c>
    </row>
    <row r="12" spans="1:6" x14ac:dyDescent="0.25">
      <c r="A12" s="63" t="s">
        <v>540</v>
      </c>
      <c r="B12" s="63" t="s">
        <v>15</v>
      </c>
      <c r="C12" s="163">
        <v>4</v>
      </c>
      <c r="D12" s="63">
        <v>90000</v>
      </c>
      <c r="E12" s="11">
        <f t="shared" si="0"/>
        <v>360000</v>
      </c>
    </row>
    <row r="13" spans="1:6" x14ac:dyDescent="0.25">
      <c r="A13" s="63" t="s">
        <v>542</v>
      </c>
      <c r="B13" s="63" t="s">
        <v>15</v>
      </c>
      <c r="C13" s="163">
        <v>8</v>
      </c>
      <c r="D13" s="63">
        <v>3200000</v>
      </c>
      <c r="E13" s="11">
        <f t="shared" si="0"/>
        <v>25600000</v>
      </c>
    </row>
    <row r="14" spans="1:6" x14ac:dyDescent="0.25">
      <c r="A14" s="63" t="s">
        <v>544</v>
      </c>
      <c r="B14" s="63" t="s">
        <v>15</v>
      </c>
      <c r="C14" s="163">
        <v>1</v>
      </c>
      <c r="D14" s="63">
        <v>4000000</v>
      </c>
      <c r="E14" s="11">
        <f t="shared" si="0"/>
        <v>4000000</v>
      </c>
    </row>
    <row r="15" spans="1:6" x14ac:dyDescent="0.25">
      <c r="A15" s="63"/>
      <c r="B15" s="63"/>
      <c r="C15" s="163"/>
      <c r="D15" s="63"/>
      <c r="E15" s="11">
        <f t="shared" si="0"/>
        <v>0</v>
      </c>
    </row>
    <row r="16" spans="1:6" x14ac:dyDescent="0.25">
      <c r="A16" s="63"/>
      <c r="B16" s="63"/>
      <c r="C16" s="163"/>
      <c r="D16" s="63"/>
      <c r="E16" s="11">
        <f t="shared" si="0"/>
        <v>0</v>
      </c>
    </row>
    <row r="17" spans="1:5" x14ac:dyDescent="0.25">
      <c r="A17" s="63"/>
      <c r="B17" s="63"/>
      <c r="C17" s="163"/>
      <c r="D17" s="63"/>
      <c r="E17" s="11">
        <f t="shared" si="0"/>
        <v>0</v>
      </c>
    </row>
    <row r="18" spans="1:5" hidden="1" x14ac:dyDescent="0.25">
      <c r="A18" s="63"/>
      <c r="B18" s="63"/>
      <c r="C18" s="163"/>
      <c r="D18" s="63"/>
      <c r="E18" s="11">
        <f t="shared" si="0"/>
        <v>0</v>
      </c>
    </row>
    <row r="19" spans="1:5" hidden="1" x14ac:dyDescent="0.25">
      <c r="A19" s="63"/>
      <c r="B19" s="63"/>
      <c r="C19" s="163"/>
      <c r="D19" s="63"/>
      <c r="E19" s="11">
        <f t="shared" si="0"/>
        <v>0</v>
      </c>
    </row>
    <row r="20" spans="1:5" x14ac:dyDescent="0.25">
      <c r="A20" s="337" t="s">
        <v>16</v>
      </c>
      <c r="B20" s="338"/>
      <c r="C20" s="163"/>
      <c r="D20" s="63"/>
      <c r="E20" s="11">
        <f t="shared" si="0"/>
        <v>0</v>
      </c>
    </row>
    <row r="21" spans="1:5" x14ac:dyDescent="0.25">
      <c r="A21" s="304" t="s">
        <v>7</v>
      </c>
      <c r="B21" s="305"/>
      <c r="C21" s="305"/>
      <c r="D21" s="306"/>
      <c r="E21" s="12">
        <f>SUM(E10:E20)</f>
        <v>36223800</v>
      </c>
    </row>
    <row r="22" spans="1:5" x14ac:dyDescent="0.25">
      <c r="A22" s="5" t="s">
        <v>10</v>
      </c>
      <c r="B22" s="5" t="s">
        <v>1</v>
      </c>
      <c r="C22" s="6" t="s">
        <v>2</v>
      </c>
      <c r="D22" s="5" t="s">
        <v>3</v>
      </c>
      <c r="E22" s="7" t="s">
        <v>4</v>
      </c>
    </row>
    <row r="23" spans="1:5" x14ac:dyDescent="0.25">
      <c r="A23" s="81" t="s">
        <v>455</v>
      </c>
      <c r="B23" s="81" t="s">
        <v>459</v>
      </c>
      <c r="C23" s="9">
        <v>2</v>
      </c>
      <c r="D23" s="8">
        <v>460900</v>
      </c>
      <c r="E23" s="11">
        <f t="shared" ref="E23:E31" si="1">+C23*D23</f>
        <v>921800</v>
      </c>
    </row>
    <row r="24" spans="1:5" x14ac:dyDescent="0.25">
      <c r="A24" s="81" t="s">
        <v>453</v>
      </c>
      <c r="B24" s="81" t="s">
        <v>459</v>
      </c>
      <c r="C24" s="9">
        <v>4</v>
      </c>
      <c r="D24" s="8">
        <v>6000000</v>
      </c>
      <c r="E24" s="11">
        <f t="shared" si="1"/>
        <v>24000000</v>
      </c>
    </row>
    <row r="25" spans="1:5" x14ac:dyDescent="0.25">
      <c r="A25" s="81" t="s">
        <v>454</v>
      </c>
      <c r="B25" s="81" t="s">
        <v>459</v>
      </c>
      <c r="C25" s="9">
        <v>8</v>
      </c>
      <c r="D25" s="8">
        <v>450000</v>
      </c>
      <c r="E25" s="11">
        <f>+C25*D25</f>
        <v>3600000</v>
      </c>
    </row>
    <row r="26" spans="1:5" x14ac:dyDescent="0.25">
      <c r="A26" s="81" t="s">
        <v>17</v>
      </c>
      <c r="B26" s="81" t="s">
        <v>19</v>
      </c>
      <c r="C26" s="9">
        <v>2</v>
      </c>
      <c r="D26" s="8">
        <v>210000</v>
      </c>
      <c r="E26" s="11">
        <f>+C26*D26</f>
        <v>420000</v>
      </c>
    </row>
    <row r="27" spans="1:5" x14ac:dyDescent="0.25">
      <c r="A27" s="8" t="s">
        <v>543</v>
      </c>
      <c r="B27" s="8" t="s">
        <v>459</v>
      </c>
      <c r="C27" s="9">
        <v>4</v>
      </c>
      <c r="D27" s="8">
        <v>1000000</v>
      </c>
      <c r="E27" s="11">
        <f>+C27*D27</f>
        <v>4000000</v>
      </c>
    </row>
    <row r="28" spans="1:5" x14ac:dyDescent="0.25">
      <c r="A28" s="8" t="s">
        <v>545</v>
      </c>
      <c r="B28" s="8" t="s">
        <v>459</v>
      </c>
      <c r="C28" s="9">
        <v>6</v>
      </c>
      <c r="D28" s="8">
        <v>450000</v>
      </c>
      <c r="E28" s="11">
        <f>+C28*D28</f>
        <v>2700000</v>
      </c>
    </row>
    <row r="29" spans="1:5" x14ac:dyDescent="0.25">
      <c r="A29" s="8"/>
      <c r="B29" s="8"/>
      <c r="C29" s="9"/>
      <c r="D29" s="8"/>
      <c r="E29" s="11">
        <f t="shared" si="1"/>
        <v>0</v>
      </c>
    </row>
    <row r="30" spans="1:5" hidden="1" x14ac:dyDescent="0.25">
      <c r="A30" s="8"/>
      <c r="B30" s="8"/>
      <c r="C30" s="9"/>
      <c r="D30" s="8"/>
      <c r="E30" s="11">
        <f t="shared" si="1"/>
        <v>0</v>
      </c>
    </row>
    <row r="31" spans="1:5" x14ac:dyDescent="0.25">
      <c r="A31" s="337" t="s">
        <v>18</v>
      </c>
      <c r="B31" s="338"/>
      <c r="C31" s="9"/>
      <c r="D31" s="8"/>
      <c r="E31" s="11">
        <f t="shared" si="1"/>
        <v>0</v>
      </c>
    </row>
    <row r="32" spans="1:5" x14ac:dyDescent="0.25">
      <c r="A32" s="304" t="s">
        <v>7</v>
      </c>
      <c r="B32" s="305"/>
      <c r="C32" s="305"/>
      <c r="D32" s="306"/>
      <c r="E32" s="12">
        <f>SUM(E23:E31)</f>
        <v>35641800</v>
      </c>
    </row>
    <row r="33" spans="1:5" x14ac:dyDescent="0.25">
      <c r="A33" s="5" t="s">
        <v>11</v>
      </c>
      <c r="B33" s="5" t="s">
        <v>1</v>
      </c>
      <c r="C33" s="6" t="s">
        <v>2</v>
      </c>
      <c r="D33" s="5" t="s">
        <v>3</v>
      </c>
      <c r="E33" s="7" t="s">
        <v>4</v>
      </c>
    </row>
    <row r="34" spans="1:5" x14ac:dyDescent="0.25">
      <c r="A34" s="81" t="s">
        <v>450</v>
      </c>
      <c r="B34" s="81" t="s">
        <v>12</v>
      </c>
      <c r="C34" s="9">
        <v>1</v>
      </c>
      <c r="D34" s="8">
        <v>15000000</v>
      </c>
      <c r="E34" s="11">
        <f t="shared" ref="E34:E39" si="2">+C34*D34</f>
        <v>15000000</v>
      </c>
    </row>
    <row r="35" spans="1:5" x14ac:dyDescent="0.25">
      <c r="A35" s="81" t="s">
        <v>451</v>
      </c>
      <c r="B35" s="81" t="s">
        <v>12</v>
      </c>
      <c r="C35" s="9">
        <v>1</v>
      </c>
      <c r="D35" s="8">
        <v>1900000</v>
      </c>
      <c r="E35" s="11">
        <f t="shared" si="2"/>
        <v>1900000</v>
      </c>
    </row>
    <row r="36" spans="1:5" x14ac:dyDescent="0.25">
      <c r="A36" s="81" t="s">
        <v>452</v>
      </c>
      <c r="B36" s="81" t="s">
        <v>12</v>
      </c>
      <c r="C36" s="9">
        <v>2</v>
      </c>
      <c r="D36" s="8">
        <v>4200000</v>
      </c>
      <c r="E36" s="11">
        <f t="shared" si="2"/>
        <v>8400000</v>
      </c>
    </row>
    <row r="37" spans="1:5" x14ac:dyDescent="0.25">
      <c r="A37" s="8" t="s">
        <v>546</v>
      </c>
      <c r="B37" s="8" t="s">
        <v>12</v>
      </c>
      <c r="C37" s="9">
        <v>1</v>
      </c>
      <c r="D37" s="8">
        <v>228000</v>
      </c>
      <c r="E37" s="11">
        <f t="shared" si="2"/>
        <v>228000</v>
      </c>
    </row>
    <row r="38" spans="1:5" hidden="1" x14ac:dyDescent="0.25">
      <c r="A38" s="8"/>
      <c r="B38" s="8"/>
      <c r="C38" s="9"/>
      <c r="D38" s="8"/>
      <c r="E38" s="11">
        <f t="shared" si="2"/>
        <v>0</v>
      </c>
    </row>
    <row r="39" spans="1:5" x14ac:dyDescent="0.25">
      <c r="A39" s="337" t="s">
        <v>20</v>
      </c>
      <c r="B39" s="338"/>
      <c r="C39" s="9"/>
      <c r="D39" s="8"/>
      <c r="E39" s="11">
        <f t="shared" si="2"/>
        <v>0</v>
      </c>
    </row>
    <row r="40" spans="1:5" x14ac:dyDescent="0.25">
      <c r="A40" s="304" t="s">
        <v>7</v>
      </c>
      <c r="B40" s="305"/>
      <c r="C40" s="305"/>
      <c r="D40" s="306"/>
      <c r="E40" s="12">
        <f>SUM(E34:E39)</f>
        <v>25528000</v>
      </c>
    </row>
    <row r="41" spans="1:5" x14ac:dyDescent="0.25">
      <c r="A41" s="331" t="s">
        <v>4</v>
      </c>
      <c r="B41" s="332"/>
      <c r="C41" s="332"/>
      <c r="D41" s="333"/>
      <c r="E41" s="12">
        <f>+E8+E21+E32+E40</f>
        <v>98842552</v>
      </c>
    </row>
  </sheetData>
  <sheetProtection algorithmName="SHA-512" hashValue="fO8dd2eoB0wpAae2p7SSCOerdluykEZUfLhYYhqIIl/liGkzIy1Hx3YVbBmjkmdvbZCHc2b/tSOQM/zUIvUYkA==" saltValue="D2RJ7FE47CaHthioBDGusQ==" spinCount="100000" sheet="1" objects="1" scenarios="1"/>
  <mergeCells count="10">
    <mergeCell ref="A40:D40"/>
    <mergeCell ref="A41:D41"/>
    <mergeCell ref="A3:D3"/>
    <mergeCell ref="A1:E1"/>
    <mergeCell ref="A8:D8"/>
    <mergeCell ref="A21:D21"/>
    <mergeCell ref="A32:D32"/>
    <mergeCell ref="A20:B20"/>
    <mergeCell ref="A31:B31"/>
    <mergeCell ref="A39:B39"/>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83AE0731-25F8-4733-BA47-A29FFAEB77D1}">
          <x14:formula1>
            <xm:f>DI!$D$20:$D$22</xm:f>
          </x14:formula1>
          <xm:sqref>B10:B19</xm:sqref>
        </x14:dataValidation>
        <x14:dataValidation type="list" allowBlank="1" showInputMessage="1" showErrorMessage="1" xr:uid="{24214E76-9F5B-45B1-A08D-62477685F026}">
          <x14:formula1>
            <xm:f>DI!$A$21:$A$23</xm:f>
          </x14:formula1>
          <xm:sqref>E3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E7803-C2A9-4AA9-A2DC-61705EEAA0F9}">
  <sheetPr codeName="Hoja7"/>
  <dimension ref="A1:J22"/>
  <sheetViews>
    <sheetView showGridLines="0" topLeftCell="A9" workbookViewId="0">
      <selection activeCell="B21" sqref="B21"/>
    </sheetView>
  </sheetViews>
  <sheetFormatPr baseColWidth="10" defaultColWidth="11" defaultRowHeight="15" x14ac:dyDescent="0.25"/>
  <cols>
    <col min="1" max="1" width="57.28515625" style="15" customWidth="1"/>
    <col min="2" max="2" width="16.140625" style="15" customWidth="1"/>
    <col min="3" max="5" width="18.140625" style="169" customWidth="1"/>
    <col min="6" max="6" width="15.42578125" style="15" customWidth="1"/>
    <col min="7" max="16384" width="11" style="15"/>
  </cols>
  <sheetData>
    <row r="1" spans="1:10" ht="56.25" customHeight="1" x14ac:dyDescent="0.25">
      <c r="A1" s="301" t="str">
        <f>+'1. Inversiones'!A1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01"/>
      <c r="C1" s="301"/>
      <c r="D1" s="301"/>
      <c r="E1" s="301"/>
    </row>
    <row r="3" spans="1:10" ht="29.25" customHeight="1" thickBot="1" x14ac:dyDescent="0.3">
      <c r="A3" s="339" t="s">
        <v>458</v>
      </c>
      <c r="B3" s="339"/>
      <c r="C3" s="15"/>
      <c r="D3" s="15"/>
      <c r="E3" s="15"/>
    </row>
    <row r="4" spans="1:10" x14ac:dyDescent="0.25">
      <c r="A4" s="16" t="s">
        <v>21</v>
      </c>
      <c r="B4" s="164" t="s">
        <v>346</v>
      </c>
      <c r="C4" s="15"/>
      <c r="D4" s="15"/>
      <c r="E4" s="15"/>
    </row>
    <row r="5" spans="1:10" x14ac:dyDescent="0.25">
      <c r="A5" s="170" t="s">
        <v>541</v>
      </c>
      <c r="B5" s="171">
        <v>80000</v>
      </c>
      <c r="C5" s="15"/>
      <c r="D5" s="15"/>
      <c r="E5" s="15"/>
    </row>
    <row r="6" spans="1:10" x14ac:dyDescent="0.25">
      <c r="A6" s="170" t="s">
        <v>554</v>
      </c>
      <c r="B6" s="171">
        <v>500000</v>
      </c>
      <c r="C6" s="15"/>
      <c r="D6" s="15"/>
      <c r="E6" s="15"/>
    </row>
    <row r="7" spans="1:10" x14ac:dyDescent="0.25">
      <c r="A7" s="170" t="s">
        <v>550</v>
      </c>
      <c r="B7" s="171">
        <v>795000</v>
      </c>
      <c r="C7" s="15"/>
      <c r="D7" s="15"/>
      <c r="E7" s="15"/>
    </row>
    <row r="8" spans="1:10" x14ac:dyDescent="0.25">
      <c r="A8" s="170" t="s">
        <v>551</v>
      </c>
      <c r="B8" s="171">
        <v>2350000</v>
      </c>
      <c r="C8" s="15"/>
      <c r="D8" s="15"/>
      <c r="E8" s="15"/>
    </row>
    <row r="9" spans="1:10" x14ac:dyDescent="0.25">
      <c r="A9" s="170" t="s">
        <v>552</v>
      </c>
      <c r="B9" s="171">
        <v>80000</v>
      </c>
      <c r="C9" s="15"/>
      <c r="D9" s="15"/>
      <c r="E9" s="15"/>
    </row>
    <row r="11" spans="1:10" ht="25.5" x14ac:dyDescent="0.25">
      <c r="A11" s="5" t="s">
        <v>24</v>
      </c>
      <c r="B11" s="73" t="s">
        <v>126</v>
      </c>
      <c r="C11" s="344" t="s">
        <v>27</v>
      </c>
      <c r="D11" s="344"/>
      <c r="E11" s="344"/>
      <c r="F11" s="344"/>
      <c r="G11" s="344"/>
    </row>
    <row r="12" spans="1:10" x14ac:dyDescent="0.25">
      <c r="A12" s="170" t="s">
        <v>556</v>
      </c>
      <c r="B12" s="170" t="s">
        <v>547</v>
      </c>
      <c r="C12" s="345"/>
      <c r="D12" s="345"/>
      <c r="E12" s="345"/>
      <c r="F12" s="345"/>
      <c r="G12" s="345"/>
    </row>
    <row r="13" spans="1:10" x14ac:dyDescent="0.25">
      <c r="A13" s="170" t="s">
        <v>548</v>
      </c>
      <c r="B13" s="170" t="s">
        <v>547</v>
      </c>
      <c r="C13" s="345"/>
      <c r="D13" s="345"/>
      <c r="E13" s="345"/>
      <c r="F13" s="345"/>
      <c r="G13" s="345"/>
    </row>
    <row r="14" spans="1:10" x14ac:dyDescent="0.25">
      <c r="A14" s="170" t="s">
        <v>549</v>
      </c>
      <c r="B14" s="170" t="s">
        <v>547</v>
      </c>
      <c r="C14" s="345"/>
      <c r="D14" s="345"/>
      <c r="E14" s="345"/>
      <c r="F14" s="345"/>
      <c r="G14" s="345"/>
    </row>
    <row r="16" spans="1:10" ht="15.75" thickBot="1" x14ac:dyDescent="0.3">
      <c r="A16" s="346" t="s">
        <v>22</v>
      </c>
      <c r="B16" s="346"/>
      <c r="C16" s="346"/>
      <c r="D16" s="346"/>
      <c r="E16" s="346"/>
      <c r="F16" s="346"/>
      <c r="G16" s="346"/>
      <c r="H16" s="346"/>
      <c r="I16" s="346"/>
      <c r="J16" s="346"/>
    </row>
    <row r="17" spans="1:10" s="168" customFormat="1" ht="42.6" customHeight="1" x14ac:dyDescent="0.25">
      <c r="A17" s="148" t="s">
        <v>23</v>
      </c>
      <c r="B17" s="166" t="str">
        <f>+CONCATENATE('Datos Aprendiz'!B6,'2. Mercado'!B4)</f>
        <v xml:space="preserve">CompuTech Precio de Venta  </v>
      </c>
      <c r="C17" s="166" t="str">
        <f>+CONCATENATE(B4,A12)</f>
        <v xml:space="preserve"> Precio de Venta  Redycom</v>
      </c>
      <c r="D17" s="166" t="str">
        <f>+CONCATENATE(B4,A13)</f>
        <v xml:space="preserve"> Precio de Venta  Solutek</v>
      </c>
      <c r="E17" s="167" t="str">
        <f>+CONCATENATE(B4,A14)</f>
        <v xml:space="preserve"> Precio de Venta  Systcom</v>
      </c>
      <c r="F17" s="73" t="s">
        <v>25</v>
      </c>
      <c r="G17" s="343" t="s">
        <v>26</v>
      </c>
      <c r="H17" s="343"/>
      <c r="I17" s="343"/>
      <c r="J17" s="343"/>
    </row>
    <row r="18" spans="1:10" x14ac:dyDescent="0.25">
      <c r="A18" s="14" t="str">
        <f>+A5</f>
        <v>Servicio tecnico</v>
      </c>
      <c r="B18" s="13">
        <f>+B5</f>
        <v>80000</v>
      </c>
      <c r="C18" s="172">
        <v>150000</v>
      </c>
      <c r="D18" s="172">
        <v>80000</v>
      </c>
      <c r="E18" s="173">
        <v>120000</v>
      </c>
      <c r="F18" s="13">
        <f>+IFERROR(AVERAGE(C18:E18),0)</f>
        <v>116666.66666666667</v>
      </c>
      <c r="G18" s="340" t="str">
        <f>+IF(F18=B18,"PRECIO IGUAL A LA COMPETENCIA",IF(F18&lt;=B18,"PRECIO MAYOR A LA COMPETENCIA","PRECIO INFERIOR A LA COMPETENCIA"))</f>
        <v>PRECIO INFERIOR A LA COMPETENCIA</v>
      </c>
      <c r="H18" s="341"/>
      <c r="I18" s="341"/>
      <c r="J18" s="342"/>
    </row>
    <row r="19" spans="1:10" x14ac:dyDescent="0.25">
      <c r="A19" s="14" t="str">
        <f t="shared" ref="A19:B22" si="0">+A6</f>
        <v>Disco SSD (500gb)</v>
      </c>
      <c r="B19" s="13">
        <f t="shared" si="0"/>
        <v>500000</v>
      </c>
      <c r="C19" s="172">
        <v>540000</v>
      </c>
      <c r="D19" s="172">
        <v>480000</v>
      </c>
      <c r="E19" s="173">
        <v>520000</v>
      </c>
      <c r="F19" s="13">
        <f>+IFERROR(AVERAGE(C19:E19),0)</f>
        <v>513333.33333333331</v>
      </c>
      <c r="G19" s="340" t="str">
        <f>+IF(F19=B19,"PRECIO IGUAL A LA COMPETENCIA",IF(F19&lt;=B19,"PRECIO MAYOR A LA COMPETENCIA","PRECIO INFERIOR A LA COMPETENCIA"))</f>
        <v>PRECIO INFERIOR A LA COMPETENCIA</v>
      </c>
      <c r="H19" s="341"/>
      <c r="I19" s="341"/>
      <c r="J19" s="342"/>
    </row>
    <row r="20" spans="1:10" x14ac:dyDescent="0.25">
      <c r="A20" s="14" t="str">
        <f t="shared" si="0"/>
        <v>Memoria RAM (DDR5 2x16gb)</v>
      </c>
      <c r="B20" s="13">
        <f t="shared" si="0"/>
        <v>795000</v>
      </c>
      <c r="C20" s="172">
        <v>700000</v>
      </c>
      <c r="D20" s="172">
        <v>720000</v>
      </c>
      <c r="E20" s="173">
        <v>750000</v>
      </c>
      <c r="F20" s="13">
        <f>+IFERROR(AVERAGE(C20:E20),0)</f>
        <v>723333.33333333337</v>
      </c>
      <c r="G20" s="340" t="str">
        <f>+IF(F20=B20,"PRECIO IGUAL A LA COMPETENCIA",IF(F20&lt;=B20,"PRECIO MAYOR A LA COMPETENCIA","PRECIO INFERIOR A LA COMPETENCIA"))</f>
        <v>PRECIO MAYOR A LA COMPETENCIA</v>
      </c>
      <c r="H20" s="341"/>
      <c r="I20" s="341"/>
      <c r="J20" s="342"/>
    </row>
    <row r="21" spans="1:10" x14ac:dyDescent="0.25">
      <c r="A21" s="14" t="str">
        <f t="shared" si="0"/>
        <v>Tarjeta grafica (4060)</v>
      </c>
      <c r="B21" s="13">
        <f t="shared" si="0"/>
        <v>2350000</v>
      </c>
      <c r="C21" s="172">
        <v>2800000</v>
      </c>
      <c r="D21" s="172">
        <v>3050000</v>
      </c>
      <c r="E21" s="173">
        <v>2800000</v>
      </c>
      <c r="F21" s="13">
        <f>+IFERROR(AVERAGE(C21:E21),0)</f>
        <v>2883333.3333333335</v>
      </c>
      <c r="G21" s="340" t="str">
        <f>+IF(F21=B21,"PRECIO IGUAL A LA COMPETENCIA",IF(F21&lt;=B21,"PRECIO MAYOR A LA COMPETENCIA","PRECIO INFERIOR A LA COMPETENCIA"))</f>
        <v>PRECIO INFERIOR A LA COMPETENCIA</v>
      </c>
      <c r="H21" s="341"/>
      <c r="I21" s="341"/>
      <c r="J21" s="342"/>
    </row>
    <row r="22" spans="1:10" x14ac:dyDescent="0.25">
      <c r="A22" s="14" t="str">
        <f t="shared" si="0"/>
        <v>Memoria USB (64gb)</v>
      </c>
      <c r="B22" s="13">
        <f t="shared" si="0"/>
        <v>80000</v>
      </c>
      <c r="C22" s="172">
        <v>60000</v>
      </c>
      <c r="D22" s="172">
        <v>40000</v>
      </c>
      <c r="E22" s="173">
        <v>45000</v>
      </c>
      <c r="F22" s="13">
        <f>+IFERROR(AVERAGE(C22:E22),0)</f>
        <v>48333.333333333336</v>
      </c>
      <c r="G22" s="340" t="str">
        <f>+IF(F22=B22,"PRECIO IGUAL A LA COMPETENCIA",IF(F22&lt;=B22,"PRECIO MAYOR A LA COMPETENCIA","PRECIO INFERIOR A LA COMPETENCIA"))</f>
        <v>PRECIO MAYOR A LA COMPETENCIA</v>
      </c>
      <c r="H22" s="341"/>
      <c r="I22" s="341"/>
      <c r="J22" s="342"/>
    </row>
  </sheetData>
  <sheetProtection algorithmName="SHA-512" hashValue="sVAIe033t0SVQOZ2dynTJ7IsInP9MXqtw5zkLpU591/CXXeGpZok3cdiK7egWvV4XDuKZ16i7uhy/DuhvxrOtg==" saltValue="0yAtm1PxnyUrwHeKdYsXCA==" spinCount="100000" sheet="1" objects="1" scenarios="1"/>
  <mergeCells count="13">
    <mergeCell ref="A1:E1"/>
    <mergeCell ref="A3:B3"/>
    <mergeCell ref="G22:J22"/>
    <mergeCell ref="G18:J18"/>
    <mergeCell ref="G19:J19"/>
    <mergeCell ref="G20:J20"/>
    <mergeCell ref="G21:J21"/>
    <mergeCell ref="G17:J17"/>
    <mergeCell ref="C11:G11"/>
    <mergeCell ref="C12:G12"/>
    <mergeCell ref="C13:G13"/>
    <mergeCell ref="C14:G14"/>
    <mergeCell ref="A16:J16"/>
  </mergeCells>
  <phoneticPr fontId="1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5934D-6330-4423-9E7F-A8288D27E738}">
  <sheetPr codeName="Hoja8"/>
  <dimension ref="A1:P71"/>
  <sheetViews>
    <sheetView showGridLines="0" topLeftCell="B71" workbookViewId="0">
      <selection activeCell="E11" sqref="E11"/>
    </sheetView>
  </sheetViews>
  <sheetFormatPr baseColWidth="10" defaultColWidth="11.42578125" defaultRowHeight="15" x14ac:dyDescent="0.25"/>
  <cols>
    <col min="1" max="1" width="43.5703125" style="15" customWidth="1"/>
    <col min="2" max="16384" width="11.42578125" style="15"/>
  </cols>
  <sheetData>
    <row r="1" spans="1:16" ht="38.25" customHeight="1" x14ac:dyDescent="0.25">
      <c r="A1" s="347" t="str">
        <f>+'1. Inversiones'!A1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47"/>
      <c r="C1" s="347"/>
      <c r="D1" s="347"/>
      <c r="E1" s="347"/>
      <c r="F1" s="347"/>
      <c r="G1" s="347"/>
      <c r="H1" s="347"/>
      <c r="I1" s="347"/>
      <c r="J1" s="347"/>
      <c r="K1" s="347"/>
      <c r="L1" s="347"/>
      <c r="M1" s="347"/>
      <c r="N1" s="347"/>
      <c r="O1" s="347"/>
      <c r="P1" s="347"/>
    </row>
    <row r="2" spans="1:16" ht="26.25" x14ac:dyDescent="0.25">
      <c r="A2" s="350" t="s">
        <v>28</v>
      </c>
      <c r="B2" s="350"/>
      <c r="C2" s="350"/>
      <c r="D2" s="350"/>
      <c r="E2" s="350"/>
      <c r="F2" s="350"/>
      <c r="G2" s="350"/>
      <c r="H2" s="350"/>
      <c r="I2" s="350"/>
      <c r="J2" s="350"/>
      <c r="K2" s="350"/>
      <c r="L2" s="350"/>
      <c r="M2" s="350"/>
    </row>
    <row r="4" spans="1:16" x14ac:dyDescent="0.25">
      <c r="A4" s="346" t="s">
        <v>29</v>
      </c>
      <c r="B4" s="346"/>
      <c r="C4" s="346"/>
      <c r="D4" s="346"/>
      <c r="E4" s="346"/>
      <c r="F4" s="346"/>
      <c r="G4" s="346"/>
      <c r="H4" s="346"/>
    </row>
    <row r="5" spans="1:16" ht="21" x14ac:dyDescent="0.35">
      <c r="A5" s="349" t="s">
        <v>30</v>
      </c>
      <c r="B5" s="349"/>
      <c r="C5" s="349"/>
      <c r="D5" s="349"/>
      <c r="E5" s="349"/>
      <c r="F5" s="349"/>
      <c r="G5" s="349"/>
      <c r="H5" s="349"/>
      <c r="I5" s="349"/>
      <c r="J5" s="349"/>
      <c r="K5" s="349"/>
      <c r="L5" s="349"/>
      <c r="M5" s="349"/>
    </row>
    <row r="6" spans="1:16" x14ac:dyDescent="0.25">
      <c r="A6" s="31" t="s">
        <v>21</v>
      </c>
      <c r="B6" s="16" t="s">
        <v>31</v>
      </c>
      <c r="C6" s="16" t="s">
        <v>32</v>
      </c>
      <c r="D6" s="16" t="s">
        <v>33</v>
      </c>
      <c r="E6" s="16" t="s">
        <v>34</v>
      </c>
      <c r="F6" s="16" t="s">
        <v>35</v>
      </c>
      <c r="G6" s="16" t="s">
        <v>36</v>
      </c>
      <c r="H6" s="16" t="s">
        <v>37</v>
      </c>
      <c r="I6" s="16" t="s">
        <v>38</v>
      </c>
      <c r="J6" s="16" t="s">
        <v>39</v>
      </c>
      <c r="K6" s="16" t="s">
        <v>40</v>
      </c>
      <c r="L6" s="16" t="s">
        <v>41</v>
      </c>
      <c r="M6" s="16" t="s">
        <v>42</v>
      </c>
      <c r="N6" s="16" t="s">
        <v>43</v>
      </c>
      <c r="O6" s="16" t="s">
        <v>44</v>
      </c>
      <c r="P6" s="16" t="s">
        <v>45</v>
      </c>
    </row>
    <row r="7" spans="1:16" x14ac:dyDescent="0.25">
      <c r="A7" s="32" t="str">
        <f>+'2. Mercado'!A5</f>
        <v>Servicio tecnico</v>
      </c>
      <c r="B7" s="133">
        <v>15</v>
      </c>
      <c r="C7" s="133">
        <v>18</v>
      </c>
      <c r="D7" s="133">
        <v>23</v>
      </c>
      <c r="E7" s="133">
        <v>24</v>
      </c>
      <c r="F7" s="133">
        <v>28</v>
      </c>
      <c r="G7" s="133">
        <v>43</v>
      </c>
      <c r="H7" s="133">
        <v>31</v>
      </c>
      <c r="I7" s="133">
        <v>22</v>
      </c>
      <c r="J7" s="133">
        <v>23</v>
      </c>
      <c r="K7" s="133">
        <v>18</v>
      </c>
      <c r="L7" s="133">
        <v>46</v>
      </c>
      <c r="M7" s="133">
        <v>52</v>
      </c>
      <c r="N7" s="33">
        <f>+SUM(B7:M7)</f>
        <v>343</v>
      </c>
      <c r="O7" s="33">
        <f>+IF(N7&lt;=0,"0",(AVERAGE(B7:M7)))</f>
        <v>28.583333333333332</v>
      </c>
      <c r="P7" s="18">
        <f>+O7/22</f>
        <v>1.2992424242424241</v>
      </c>
    </row>
    <row r="8" spans="1:16" x14ac:dyDescent="0.25">
      <c r="A8" s="32" t="str">
        <f>+'2. Mercado'!A6</f>
        <v>Disco SSD (500gb)</v>
      </c>
      <c r="B8" s="133">
        <v>10</v>
      </c>
      <c r="C8" s="133">
        <v>12</v>
      </c>
      <c r="D8" s="133">
        <v>16</v>
      </c>
      <c r="E8" s="133">
        <v>14</v>
      </c>
      <c r="F8" s="133">
        <v>15</v>
      </c>
      <c r="G8" s="133">
        <v>14</v>
      </c>
      <c r="H8" s="133">
        <v>19</v>
      </c>
      <c r="I8" s="133">
        <v>13</v>
      </c>
      <c r="J8" s="133">
        <v>14</v>
      </c>
      <c r="K8" s="133">
        <v>13</v>
      </c>
      <c r="L8" s="133">
        <v>28</v>
      </c>
      <c r="M8" s="133">
        <v>26</v>
      </c>
      <c r="N8" s="33">
        <f>+SUM(B8:M8)</f>
        <v>194</v>
      </c>
      <c r="O8" s="33">
        <f>+IF(N8&lt;=0,"0",(AVERAGE(B8:M8)))</f>
        <v>16.166666666666668</v>
      </c>
      <c r="P8" s="18">
        <f>+O8/22</f>
        <v>0.73484848484848486</v>
      </c>
    </row>
    <row r="9" spans="1:16" x14ac:dyDescent="0.25">
      <c r="A9" s="32" t="str">
        <f>+'2. Mercado'!A7</f>
        <v>Memoria RAM (DDR5 2x16gb)</v>
      </c>
      <c r="B9" s="133">
        <v>7</v>
      </c>
      <c r="C9" s="133">
        <v>9</v>
      </c>
      <c r="D9" s="133">
        <v>12</v>
      </c>
      <c r="E9" s="133">
        <v>11</v>
      </c>
      <c r="F9" s="133">
        <v>11</v>
      </c>
      <c r="G9" s="133">
        <v>12</v>
      </c>
      <c r="H9" s="133">
        <v>15</v>
      </c>
      <c r="I9" s="133">
        <v>13</v>
      </c>
      <c r="J9" s="133">
        <v>15</v>
      </c>
      <c r="K9" s="133">
        <v>14</v>
      </c>
      <c r="L9" s="133">
        <v>24</v>
      </c>
      <c r="M9" s="133">
        <v>24</v>
      </c>
      <c r="N9" s="33">
        <f>+SUM(B9:M9)</f>
        <v>167</v>
      </c>
      <c r="O9" s="33">
        <f>+IF(N9&lt;=0,"0",(AVERAGE(B9:M9)))</f>
        <v>13.916666666666666</v>
      </c>
      <c r="P9" s="18">
        <f>+O9/22</f>
        <v>0.63257575757575757</v>
      </c>
    </row>
    <row r="10" spans="1:16" x14ac:dyDescent="0.25">
      <c r="A10" s="32" t="str">
        <f>+'2. Mercado'!A8</f>
        <v>Tarjeta grafica (4060)</v>
      </c>
      <c r="B10" s="133">
        <v>2</v>
      </c>
      <c r="C10" s="133">
        <v>4</v>
      </c>
      <c r="D10" s="133">
        <v>1</v>
      </c>
      <c r="E10" s="133">
        <v>2</v>
      </c>
      <c r="F10" s="133">
        <v>3</v>
      </c>
      <c r="G10" s="133">
        <v>4</v>
      </c>
      <c r="H10" s="133">
        <v>3</v>
      </c>
      <c r="I10" s="133">
        <v>3</v>
      </c>
      <c r="J10" s="133">
        <v>2</v>
      </c>
      <c r="K10" s="133">
        <v>3</v>
      </c>
      <c r="L10" s="133">
        <v>7</v>
      </c>
      <c r="M10" s="133">
        <v>11</v>
      </c>
      <c r="N10" s="33">
        <f>+SUM(B10:M10)</f>
        <v>45</v>
      </c>
      <c r="O10" s="33">
        <f>+IF(N10&lt;=0,"0",(AVERAGE(B10:M10)))</f>
        <v>3.75</v>
      </c>
      <c r="P10" s="18">
        <f>+O10/22</f>
        <v>0.17045454545454544</v>
      </c>
    </row>
    <row r="11" spans="1:16" x14ac:dyDescent="0.25">
      <c r="A11" s="32" t="str">
        <f>+'2. Mercado'!A9</f>
        <v>Memoria USB (64gb)</v>
      </c>
      <c r="B11" s="133">
        <v>15</v>
      </c>
      <c r="C11" s="133">
        <v>16</v>
      </c>
      <c r="D11" s="133">
        <v>19</v>
      </c>
      <c r="E11" s="133">
        <v>20</v>
      </c>
      <c r="F11" s="133">
        <v>29</v>
      </c>
      <c r="G11" s="133">
        <v>26</v>
      </c>
      <c r="H11" s="133">
        <v>35</v>
      </c>
      <c r="I11" s="133">
        <v>24</v>
      </c>
      <c r="J11" s="133">
        <v>32</v>
      </c>
      <c r="K11" s="133">
        <v>42</v>
      </c>
      <c r="L11" s="133">
        <v>59</v>
      </c>
      <c r="M11" s="133">
        <v>61</v>
      </c>
      <c r="N11" s="33">
        <f>+SUM(B11:M11)</f>
        <v>378</v>
      </c>
      <c r="O11" s="33">
        <f>+IF(N11&lt;=0,"0",(AVERAGE(B11:M11)))</f>
        <v>31.5</v>
      </c>
      <c r="P11" s="18">
        <f>+O11/22</f>
        <v>1.4318181818181819</v>
      </c>
    </row>
    <row r="12" spans="1:16" x14ac:dyDescent="0.25">
      <c r="A12" s="34" t="s">
        <v>4</v>
      </c>
      <c r="B12" s="19">
        <f>SUM(B7:B11)</f>
        <v>49</v>
      </c>
      <c r="C12" s="19">
        <f t="shared" ref="C12:P12" si="0">SUM(C7:C11)</f>
        <v>59</v>
      </c>
      <c r="D12" s="19">
        <f t="shared" si="0"/>
        <v>71</v>
      </c>
      <c r="E12" s="19">
        <f t="shared" si="0"/>
        <v>71</v>
      </c>
      <c r="F12" s="19">
        <f t="shared" si="0"/>
        <v>86</v>
      </c>
      <c r="G12" s="19">
        <f t="shared" si="0"/>
        <v>99</v>
      </c>
      <c r="H12" s="19">
        <f t="shared" si="0"/>
        <v>103</v>
      </c>
      <c r="I12" s="19">
        <f t="shared" si="0"/>
        <v>75</v>
      </c>
      <c r="J12" s="19">
        <f t="shared" si="0"/>
        <v>86</v>
      </c>
      <c r="K12" s="19">
        <f t="shared" si="0"/>
        <v>90</v>
      </c>
      <c r="L12" s="19">
        <f t="shared" si="0"/>
        <v>164</v>
      </c>
      <c r="M12" s="19">
        <f t="shared" si="0"/>
        <v>174</v>
      </c>
      <c r="N12" s="19">
        <f t="shared" si="0"/>
        <v>1127</v>
      </c>
      <c r="O12" s="19">
        <f t="shared" si="0"/>
        <v>93.916666666666657</v>
      </c>
      <c r="P12" s="19">
        <f t="shared" si="0"/>
        <v>4.2689393939393945</v>
      </c>
    </row>
    <row r="14" spans="1:16" ht="21" x14ac:dyDescent="0.35">
      <c r="A14" s="349" t="s">
        <v>46</v>
      </c>
      <c r="B14" s="349"/>
      <c r="C14" s="349"/>
      <c r="D14" s="349"/>
      <c r="E14" s="349"/>
      <c r="F14" s="349"/>
      <c r="G14" s="349"/>
      <c r="H14" s="349"/>
      <c r="I14" s="349"/>
      <c r="J14" s="349"/>
      <c r="K14" s="349"/>
      <c r="L14" s="349"/>
      <c r="M14" s="349"/>
    </row>
    <row r="15" spans="1:16" x14ac:dyDescent="0.25">
      <c r="A15" s="31" t="s">
        <v>21</v>
      </c>
      <c r="B15" s="16" t="s">
        <v>31</v>
      </c>
      <c r="C15" s="16" t="s">
        <v>32</v>
      </c>
      <c r="D15" s="16" t="s">
        <v>33</v>
      </c>
      <c r="E15" s="16" t="s">
        <v>34</v>
      </c>
      <c r="F15" s="16" t="s">
        <v>35</v>
      </c>
      <c r="G15" s="16" t="s">
        <v>36</v>
      </c>
      <c r="H15" s="16" t="s">
        <v>37</v>
      </c>
      <c r="I15" s="16" t="s">
        <v>38</v>
      </c>
      <c r="J15" s="16" t="s">
        <v>39</v>
      </c>
      <c r="K15" s="16" t="s">
        <v>40</v>
      </c>
      <c r="L15" s="16" t="s">
        <v>41</v>
      </c>
      <c r="M15" s="16" t="s">
        <v>42</v>
      </c>
      <c r="N15" s="16" t="s">
        <v>47</v>
      </c>
      <c r="O15" s="16" t="s">
        <v>44</v>
      </c>
      <c r="P15" s="16" t="s">
        <v>45</v>
      </c>
    </row>
    <row r="16" spans="1:16" x14ac:dyDescent="0.25">
      <c r="A16" s="32" t="str">
        <f>+A7</f>
        <v>Servicio tecnico</v>
      </c>
      <c r="B16" s="20">
        <f>+B7*1.055</f>
        <v>15.824999999999999</v>
      </c>
      <c r="C16" s="20">
        <f t="shared" ref="C16:M16" si="1">+C7*1.055</f>
        <v>18.989999999999998</v>
      </c>
      <c r="D16" s="20">
        <f t="shared" si="1"/>
        <v>24.264999999999997</v>
      </c>
      <c r="E16" s="20">
        <f t="shared" si="1"/>
        <v>25.32</v>
      </c>
      <c r="F16" s="20">
        <f t="shared" si="1"/>
        <v>29.54</v>
      </c>
      <c r="G16" s="20">
        <f t="shared" si="1"/>
        <v>45.364999999999995</v>
      </c>
      <c r="H16" s="20">
        <f t="shared" si="1"/>
        <v>32.704999999999998</v>
      </c>
      <c r="I16" s="20">
        <f t="shared" si="1"/>
        <v>23.209999999999997</v>
      </c>
      <c r="J16" s="20">
        <f t="shared" si="1"/>
        <v>24.264999999999997</v>
      </c>
      <c r="K16" s="20">
        <f t="shared" si="1"/>
        <v>18.989999999999998</v>
      </c>
      <c r="L16" s="20">
        <f t="shared" si="1"/>
        <v>48.529999999999994</v>
      </c>
      <c r="M16" s="20">
        <f t="shared" si="1"/>
        <v>54.86</v>
      </c>
      <c r="N16" s="33">
        <f>+SUM(B16:M16)</f>
        <v>361.86499999999995</v>
      </c>
      <c r="O16" s="33">
        <f>+IF(N16&lt;=0,"0",(AVERAGE(B16:M16)))</f>
        <v>30.155416666666664</v>
      </c>
      <c r="P16" s="18">
        <f>+O16/22</f>
        <v>1.3707007575757575</v>
      </c>
    </row>
    <row r="17" spans="1:16" x14ac:dyDescent="0.25">
      <c r="A17" s="32" t="str">
        <f>+A8</f>
        <v>Disco SSD (500gb)</v>
      </c>
      <c r="B17" s="20">
        <f t="shared" ref="B17:M20" si="2">+B8*1.055</f>
        <v>10.549999999999999</v>
      </c>
      <c r="C17" s="20">
        <f t="shared" si="2"/>
        <v>12.66</v>
      </c>
      <c r="D17" s="20">
        <f t="shared" si="2"/>
        <v>16.88</v>
      </c>
      <c r="E17" s="20">
        <f t="shared" si="2"/>
        <v>14.77</v>
      </c>
      <c r="F17" s="20">
        <f t="shared" si="2"/>
        <v>15.824999999999999</v>
      </c>
      <c r="G17" s="20">
        <f t="shared" si="2"/>
        <v>14.77</v>
      </c>
      <c r="H17" s="20">
        <f t="shared" si="2"/>
        <v>20.044999999999998</v>
      </c>
      <c r="I17" s="20">
        <f t="shared" si="2"/>
        <v>13.715</v>
      </c>
      <c r="J17" s="20">
        <f t="shared" si="2"/>
        <v>14.77</v>
      </c>
      <c r="K17" s="20">
        <f t="shared" si="2"/>
        <v>13.715</v>
      </c>
      <c r="L17" s="20">
        <f t="shared" si="2"/>
        <v>29.54</v>
      </c>
      <c r="M17" s="20">
        <f t="shared" si="2"/>
        <v>27.43</v>
      </c>
      <c r="N17" s="33">
        <f>+SUM(B17:M17)</f>
        <v>204.67000000000002</v>
      </c>
      <c r="O17" s="33">
        <f>+IF(N17&lt;=0,"0",(AVERAGE(B17:M17)))</f>
        <v>17.055833333333336</v>
      </c>
      <c r="P17" s="18">
        <f>+O17/22</f>
        <v>0.77526515151515163</v>
      </c>
    </row>
    <row r="18" spans="1:16" x14ac:dyDescent="0.25">
      <c r="A18" s="32" t="str">
        <f>+A9</f>
        <v>Memoria RAM (DDR5 2x16gb)</v>
      </c>
      <c r="B18" s="20">
        <f t="shared" si="2"/>
        <v>7.3849999999999998</v>
      </c>
      <c r="C18" s="20">
        <f t="shared" si="2"/>
        <v>9.4949999999999992</v>
      </c>
      <c r="D18" s="20">
        <f t="shared" si="2"/>
        <v>12.66</v>
      </c>
      <c r="E18" s="20">
        <f t="shared" si="2"/>
        <v>11.604999999999999</v>
      </c>
      <c r="F18" s="20">
        <f t="shared" si="2"/>
        <v>11.604999999999999</v>
      </c>
      <c r="G18" s="20">
        <f t="shared" si="2"/>
        <v>12.66</v>
      </c>
      <c r="H18" s="20">
        <f t="shared" si="2"/>
        <v>15.824999999999999</v>
      </c>
      <c r="I18" s="20">
        <f t="shared" si="2"/>
        <v>13.715</v>
      </c>
      <c r="J18" s="20">
        <f t="shared" si="2"/>
        <v>15.824999999999999</v>
      </c>
      <c r="K18" s="20">
        <f t="shared" si="2"/>
        <v>14.77</v>
      </c>
      <c r="L18" s="20">
        <f t="shared" si="2"/>
        <v>25.32</v>
      </c>
      <c r="M18" s="20">
        <f t="shared" si="2"/>
        <v>25.32</v>
      </c>
      <c r="N18" s="33">
        <f>+SUM(B18:M18)</f>
        <v>176.185</v>
      </c>
      <c r="O18" s="33">
        <f>+IF(N18&lt;=0,"0",(AVERAGE(B18:M18)))</f>
        <v>14.682083333333333</v>
      </c>
      <c r="P18" s="18">
        <f>+O18/22</f>
        <v>0.66736742424242423</v>
      </c>
    </row>
    <row r="19" spans="1:16" x14ac:dyDescent="0.25">
      <c r="A19" s="32" t="str">
        <f>+A10</f>
        <v>Tarjeta grafica (4060)</v>
      </c>
      <c r="B19" s="20">
        <f t="shared" si="2"/>
        <v>2.11</v>
      </c>
      <c r="C19" s="20">
        <f t="shared" si="2"/>
        <v>4.22</v>
      </c>
      <c r="D19" s="20">
        <f t="shared" si="2"/>
        <v>1.0549999999999999</v>
      </c>
      <c r="E19" s="20">
        <f t="shared" si="2"/>
        <v>2.11</v>
      </c>
      <c r="F19" s="20">
        <f t="shared" si="2"/>
        <v>3.165</v>
      </c>
      <c r="G19" s="20">
        <f t="shared" si="2"/>
        <v>4.22</v>
      </c>
      <c r="H19" s="20">
        <f t="shared" si="2"/>
        <v>3.165</v>
      </c>
      <c r="I19" s="20">
        <f t="shared" si="2"/>
        <v>3.165</v>
      </c>
      <c r="J19" s="20">
        <f t="shared" si="2"/>
        <v>2.11</v>
      </c>
      <c r="K19" s="20">
        <f t="shared" si="2"/>
        <v>3.165</v>
      </c>
      <c r="L19" s="20">
        <f t="shared" si="2"/>
        <v>7.3849999999999998</v>
      </c>
      <c r="M19" s="20">
        <f t="shared" si="2"/>
        <v>11.604999999999999</v>
      </c>
      <c r="N19" s="33">
        <f>+SUM(B19:M19)</f>
        <v>47.474999999999994</v>
      </c>
      <c r="O19" s="33">
        <f>+IF(N19&lt;=0,"0",(AVERAGE(B19:M19)))</f>
        <v>3.9562499999999994</v>
      </c>
      <c r="P19" s="18">
        <f>+O19/22</f>
        <v>0.17982954545454544</v>
      </c>
    </row>
    <row r="20" spans="1:16" x14ac:dyDescent="0.25">
      <c r="A20" s="32" t="str">
        <f>+A11</f>
        <v>Memoria USB (64gb)</v>
      </c>
      <c r="B20" s="20">
        <f t="shared" si="2"/>
        <v>15.824999999999999</v>
      </c>
      <c r="C20" s="20">
        <f t="shared" si="2"/>
        <v>16.88</v>
      </c>
      <c r="D20" s="20">
        <f t="shared" si="2"/>
        <v>20.044999999999998</v>
      </c>
      <c r="E20" s="20">
        <f t="shared" si="2"/>
        <v>21.099999999999998</v>
      </c>
      <c r="F20" s="20">
        <f t="shared" si="2"/>
        <v>30.594999999999999</v>
      </c>
      <c r="G20" s="20">
        <f t="shared" si="2"/>
        <v>27.43</v>
      </c>
      <c r="H20" s="20">
        <f t="shared" si="2"/>
        <v>36.924999999999997</v>
      </c>
      <c r="I20" s="20">
        <f t="shared" si="2"/>
        <v>25.32</v>
      </c>
      <c r="J20" s="20">
        <f t="shared" si="2"/>
        <v>33.76</v>
      </c>
      <c r="K20" s="20">
        <f t="shared" si="2"/>
        <v>44.309999999999995</v>
      </c>
      <c r="L20" s="20">
        <f t="shared" si="2"/>
        <v>62.244999999999997</v>
      </c>
      <c r="M20" s="20">
        <f t="shared" si="2"/>
        <v>64.35499999999999</v>
      </c>
      <c r="N20" s="33">
        <f>+SUM(B20:M20)</f>
        <v>398.78999999999996</v>
      </c>
      <c r="O20" s="33">
        <f>+IF(N20&lt;=0,"0",(AVERAGE(B20:M20)))</f>
        <v>33.232499999999995</v>
      </c>
      <c r="P20" s="18">
        <f>+O20/22</f>
        <v>1.5105681818181815</v>
      </c>
    </row>
    <row r="21" spans="1:16" x14ac:dyDescent="0.25">
      <c r="A21" s="34" t="s">
        <v>4</v>
      </c>
      <c r="B21" s="19">
        <f>SUM(B16:B20)</f>
        <v>51.694999999999993</v>
      </c>
      <c r="C21" s="19">
        <f t="shared" ref="C21:P21" si="3">SUM(C16:C20)</f>
        <v>62.24499999999999</v>
      </c>
      <c r="D21" s="19">
        <f t="shared" si="3"/>
        <v>74.904999999999987</v>
      </c>
      <c r="E21" s="19">
        <f t="shared" si="3"/>
        <v>74.905000000000001</v>
      </c>
      <c r="F21" s="19">
        <f t="shared" si="3"/>
        <v>90.72999999999999</v>
      </c>
      <c r="G21" s="19">
        <f t="shared" si="3"/>
        <v>104.44499999999999</v>
      </c>
      <c r="H21" s="19">
        <f t="shared" si="3"/>
        <v>108.66500000000001</v>
      </c>
      <c r="I21" s="19">
        <f t="shared" si="3"/>
        <v>79.125</v>
      </c>
      <c r="J21" s="19">
        <f t="shared" si="3"/>
        <v>90.72999999999999</v>
      </c>
      <c r="K21" s="19">
        <f t="shared" si="3"/>
        <v>94.949999999999989</v>
      </c>
      <c r="L21" s="19">
        <f t="shared" si="3"/>
        <v>173.01999999999998</v>
      </c>
      <c r="M21" s="19">
        <f t="shared" si="3"/>
        <v>183.57</v>
      </c>
      <c r="N21" s="19">
        <f t="shared" si="3"/>
        <v>1188.9850000000001</v>
      </c>
      <c r="O21" s="19">
        <f t="shared" si="3"/>
        <v>99.082083333333316</v>
      </c>
      <c r="P21" s="19">
        <f t="shared" si="3"/>
        <v>4.5037310606060608</v>
      </c>
    </row>
    <row r="23" spans="1:16" ht="21" x14ac:dyDescent="0.35">
      <c r="A23" s="349" t="s">
        <v>48</v>
      </c>
      <c r="B23" s="349"/>
      <c r="C23" s="349"/>
      <c r="D23" s="349"/>
      <c r="E23" s="349"/>
      <c r="F23" s="349"/>
      <c r="G23" s="349"/>
      <c r="H23" s="349"/>
      <c r="I23" s="349"/>
      <c r="J23" s="349"/>
      <c r="K23" s="349"/>
      <c r="L23" s="349"/>
      <c r="M23" s="349"/>
    </row>
    <row r="24" spans="1:16" x14ac:dyDescent="0.25">
      <c r="A24" s="31" t="s">
        <v>21</v>
      </c>
      <c r="B24" s="16" t="s">
        <v>31</v>
      </c>
      <c r="C24" s="16" t="s">
        <v>32</v>
      </c>
      <c r="D24" s="16" t="s">
        <v>33</v>
      </c>
      <c r="E24" s="16" t="s">
        <v>34</v>
      </c>
      <c r="F24" s="16" t="s">
        <v>35</v>
      </c>
      <c r="G24" s="16" t="s">
        <v>36</v>
      </c>
      <c r="H24" s="16" t="s">
        <v>37</v>
      </c>
      <c r="I24" s="16" t="s">
        <v>38</v>
      </c>
      <c r="J24" s="16" t="s">
        <v>39</v>
      </c>
      <c r="K24" s="16" t="s">
        <v>40</v>
      </c>
      <c r="L24" s="16" t="s">
        <v>41</v>
      </c>
      <c r="M24" s="16" t="s">
        <v>42</v>
      </c>
      <c r="N24" s="16" t="s">
        <v>49</v>
      </c>
      <c r="O24" s="16" t="s">
        <v>44</v>
      </c>
      <c r="P24" s="16" t="s">
        <v>45</v>
      </c>
    </row>
    <row r="25" spans="1:16" x14ac:dyDescent="0.25">
      <c r="A25" s="32" t="str">
        <f>+A16</f>
        <v>Servicio tecnico</v>
      </c>
      <c r="B25" s="20">
        <f>+B16*1.055</f>
        <v>16.695374999999999</v>
      </c>
      <c r="C25" s="20">
        <f t="shared" ref="C25:M25" si="4">+C16*1.055</f>
        <v>20.034449999999996</v>
      </c>
      <c r="D25" s="20">
        <f t="shared" si="4"/>
        <v>25.599574999999994</v>
      </c>
      <c r="E25" s="20">
        <f t="shared" si="4"/>
        <v>26.712599999999998</v>
      </c>
      <c r="F25" s="20">
        <f t="shared" si="4"/>
        <v>31.164699999999996</v>
      </c>
      <c r="G25" s="20">
        <f t="shared" si="4"/>
        <v>47.860074999999995</v>
      </c>
      <c r="H25" s="20">
        <f t="shared" si="4"/>
        <v>34.503774999999997</v>
      </c>
      <c r="I25" s="20">
        <f t="shared" si="4"/>
        <v>24.486549999999994</v>
      </c>
      <c r="J25" s="20">
        <f t="shared" si="4"/>
        <v>25.599574999999994</v>
      </c>
      <c r="K25" s="20">
        <f t="shared" si="4"/>
        <v>20.034449999999996</v>
      </c>
      <c r="L25" s="20">
        <f t="shared" si="4"/>
        <v>51.199149999999989</v>
      </c>
      <c r="M25" s="20">
        <f t="shared" si="4"/>
        <v>57.877299999999998</v>
      </c>
      <c r="N25" s="33">
        <f>+SUM(B25:M25)</f>
        <v>381.76757499999991</v>
      </c>
      <c r="O25" s="33">
        <f>+IF(N25&lt;=0,"0",(AVERAGE(B25:M25)))</f>
        <v>31.813964583333327</v>
      </c>
      <c r="P25" s="18">
        <f>+O25/22</f>
        <v>1.4460892992424239</v>
      </c>
    </row>
    <row r="26" spans="1:16" x14ac:dyDescent="0.25">
      <c r="A26" s="32" t="str">
        <f>+A17</f>
        <v>Disco SSD (500gb)</v>
      </c>
      <c r="B26" s="20">
        <f t="shared" ref="B26:M29" si="5">+B17*1.055</f>
        <v>11.130249999999998</v>
      </c>
      <c r="C26" s="20">
        <f t="shared" si="5"/>
        <v>13.356299999999999</v>
      </c>
      <c r="D26" s="20">
        <f t="shared" si="5"/>
        <v>17.808399999999999</v>
      </c>
      <c r="E26" s="20">
        <f t="shared" si="5"/>
        <v>15.582349999999998</v>
      </c>
      <c r="F26" s="20">
        <f t="shared" si="5"/>
        <v>16.695374999999999</v>
      </c>
      <c r="G26" s="20">
        <f t="shared" si="5"/>
        <v>15.582349999999998</v>
      </c>
      <c r="H26" s="20">
        <f t="shared" si="5"/>
        <v>21.147474999999996</v>
      </c>
      <c r="I26" s="20">
        <f t="shared" si="5"/>
        <v>14.469325</v>
      </c>
      <c r="J26" s="20">
        <f t="shared" si="5"/>
        <v>15.582349999999998</v>
      </c>
      <c r="K26" s="20">
        <f t="shared" si="5"/>
        <v>14.469325</v>
      </c>
      <c r="L26" s="20">
        <f t="shared" si="5"/>
        <v>31.164699999999996</v>
      </c>
      <c r="M26" s="20">
        <f t="shared" si="5"/>
        <v>28.938649999999999</v>
      </c>
      <c r="N26" s="33">
        <f>+SUM(B26:M26)</f>
        <v>215.92685</v>
      </c>
      <c r="O26" s="33">
        <f>+IF(N26&lt;=0,"0",(AVERAGE(B26:M26)))</f>
        <v>17.993904166666667</v>
      </c>
      <c r="P26" s="18">
        <f>+O26/22</f>
        <v>0.8179047348484848</v>
      </c>
    </row>
    <row r="27" spans="1:16" x14ac:dyDescent="0.25">
      <c r="A27" s="32" t="str">
        <f>+A18</f>
        <v>Memoria RAM (DDR5 2x16gb)</v>
      </c>
      <c r="B27" s="20">
        <f t="shared" si="5"/>
        <v>7.7911749999999991</v>
      </c>
      <c r="C27" s="20">
        <f t="shared" si="5"/>
        <v>10.017224999999998</v>
      </c>
      <c r="D27" s="20">
        <f t="shared" si="5"/>
        <v>13.356299999999999</v>
      </c>
      <c r="E27" s="20">
        <f t="shared" si="5"/>
        <v>12.243274999999997</v>
      </c>
      <c r="F27" s="20">
        <f t="shared" si="5"/>
        <v>12.243274999999997</v>
      </c>
      <c r="G27" s="20">
        <f t="shared" si="5"/>
        <v>13.356299999999999</v>
      </c>
      <c r="H27" s="20">
        <f t="shared" si="5"/>
        <v>16.695374999999999</v>
      </c>
      <c r="I27" s="20">
        <f t="shared" si="5"/>
        <v>14.469325</v>
      </c>
      <c r="J27" s="20">
        <f t="shared" si="5"/>
        <v>16.695374999999999</v>
      </c>
      <c r="K27" s="20">
        <f t="shared" si="5"/>
        <v>15.582349999999998</v>
      </c>
      <c r="L27" s="20">
        <f t="shared" si="5"/>
        <v>26.712599999999998</v>
      </c>
      <c r="M27" s="20">
        <f t="shared" si="5"/>
        <v>26.712599999999998</v>
      </c>
      <c r="N27" s="33">
        <f>+SUM(B27:M27)</f>
        <v>185.87517500000001</v>
      </c>
      <c r="O27" s="33">
        <f>+IF(N27&lt;=0,"0",(AVERAGE(B27:M27)))</f>
        <v>15.489597916666668</v>
      </c>
      <c r="P27" s="18">
        <f>+O27/22</f>
        <v>0.70407263257575758</v>
      </c>
    </row>
    <row r="28" spans="1:16" x14ac:dyDescent="0.25">
      <c r="A28" s="32" t="str">
        <f>+A19</f>
        <v>Tarjeta grafica (4060)</v>
      </c>
      <c r="B28" s="20">
        <f t="shared" si="5"/>
        <v>2.2260499999999999</v>
      </c>
      <c r="C28" s="20">
        <f t="shared" si="5"/>
        <v>4.4520999999999997</v>
      </c>
      <c r="D28" s="20">
        <f t="shared" si="5"/>
        <v>1.1130249999999999</v>
      </c>
      <c r="E28" s="20">
        <f t="shared" si="5"/>
        <v>2.2260499999999999</v>
      </c>
      <c r="F28" s="20">
        <f t="shared" si="5"/>
        <v>3.3390749999999998</v>
      </c>
      <c r="G28" s="20">
        <f t="shared" si="5"/>
        <v>4.4520999999999997</v>
      </c>
      <c r="H28" s="20">
        <f t="shared" si="5"/>
        <v>3.3390749999999998</v>
      </c>
      <c r="I28" s="20">
        <f t="shared" si="5"/>
        <v>3.3390749999999998</v>
      </c>
      <c r="J28" s="20">
        <f t="shared" si="5"/>
        <v>2.2260499999999999</v>
      </c>
      <c r="K28" s="20">
        <f t="shared" si="5"/>
        <v>3.3390749999999998</v>
      </c>
      <c r="L28" s="20">
        <f t="shared" si="5"/>
        <v>7.7911749999999991</v>
      </c>
      <c r="M28" s="20">
        <f t="shared" si="5"/>
        <v>12.243274999999997</v>
      </c>
      <c r="N28" s="33">
        <f>+SUM(B28:M28)</f>
        <v>50.086124999999996</v>
      </c>
      <c r="O28" s="33">
        <f>+IF(N28&lt;=0,"0",(AVERAGE(B28:M28)))</f>
        <v>4.1738437499999996</v>
      </c>
      <c r="P28" s="18">
        <f>+O28/22</f>
        <v>0.18972017045454545</v>
      </c>
    </row>
    <row r="29" spans="1:16" x14ac:dyDescent="0.25">
      <c r="A29" s="32" t="str">
        <f>+A20</f>
        <v>Memoria USB (64gb)</v>
      </c>
      <c r="B29" s="20">
        <f t="shared" si="5"/>
        <v>16.695374999999999</v>
      </c>
      <c r="C29" s="20">
        <f t="shared" si="5"/>
        <v>17.808399999999999</v>
      </c>
      <c r="D29" s="20">
        <f t="shared" si="5"/>
        <v>21.147474999999996</v>
      </c>
      <c r="E29" s="20">
        <f t="shared" si="5"/>
        <v>22.260499999999997</v>
      </c>
      <c r="F29" s="20">
        <f t="shared" si="5"/>
        <v>32.277724999999997</v>
      </c>
      <c r="G29" s="20">
        <f t="shared" si="5"/>
        <v>28.938649999999999</v>
      </c>
      <c r="H29" s="20">
        <f t="shared" si="5"/>
        <v>38.955874999999992</v>
      </c>
      <c r="I29" s="20">
        <f t="shared" si="5"/>
        <v>26.712599999999998</v>
      </c>
      <c r="J29" s="20">
        <f t="shared" si="5"/>
        <v>35.616799999999998</v>
      </c>
      <c r="K29" s="20">
        <f t="shared" si="5"/>
        <v>46.747049999999994</v>
      </c>
      <c r="L29" s="20">
        <f t="shared" si="5"/>
        <v>65.668474999999987</v>
      </c>
      <c r="M29" s="20">
        <f t="shared" si="5"/>
        <v>67.894524999999987</v>
      </c>
      <c r="N29" s="33">
        <f>+SUM(B29:M29)</f>
        <v>420.72344999999996</v>
      </c>
      <c r="O29" s="33">
        <f>+IF(N29&lt;=0,"0",(AVERAGE(B29:M29)))</f>
        <v>35.060287499999994</v>
      </c>
      <c r="P29" s="18">
        <f>+O29/22</f>
        <v>1.5936494318181815</v>
      </c>
    </row>
    <row r="30" spans="1:16" x14ac:dyDescent="0.25">
      <c r="A30" s="34" t="s">
        <v>4</v>
      </c>
      <c r="B30" s="19">
        <f>SUM(B25:B29)</f>
        <v>54.538224999999997</v>
      </c>
      <c r="C30" s="19">
        <f t="shared" ref="C30:P30" si="6">SUM(C25:C29)</f>
        <v>65.668475000000001</v>
      </c>
      <c r="D30" s="19">
        <f t="shared" si="6"/>
        <v>79.024774999999991</v>
      </c>
      <c r="E30" s="19">
        <f t="shared" si="6"/>
        <v>79.024774999999991</v>
      </c>
      <c r="F30" s="19">
        <f t="shared" si="6"/>
        <v>95.72014999999999</v>
      </c>
      <c r="G30" s="19">
        <f t="shared" si="6"/>
        <v>110.18947499999999</v>
      </c>
      <c r="H30" s="19">
        <f t="shared" si="6"/>
        <v>114.64157499999997</v>
      </c>
      <c r="I30" s="19">
        <f t="shared" si="6"/>
        <v>83.476874999999993</v>
      </c>
      <c r="J30" s="19">
        <f t="shared" si="6"/>
        <v>95.72014999999999</v>
      </c>
      <c r="K30" s="19">
        <f t="shared" si="6"/>
        <v>100.17224999999999</v>
      </c>
      <c r="L30" s="19">
        <f t="shared" si="6"/>
        <v>182.53609999999998</v>
      </c>
      <c r="M30" s="19">
        <f t="shared" si="6"/>
        <v>193.66634999999997</v>
      </c>
      <c r="N30" s="19">
        <f t="shared" si="6"/>
        <v>1254.379175</v>
      </c>
      <c r="O30" s="19">
        <f t="shared" si="6"/>
        <v>104.53159791666667</v>
      </c>
      <c r="P30" s="19">
        <f t="shared" si="6"/>
        <v>4.7514362689393934</v>
      </c>
    </row>
    <row r="32" spans="1:16" ht="21" x14ac:dyDescent="0.35">
      <c r="A32" s="349" t="s">
        <v>50</v>
      </c>
      <c r="B32" s="349"/>
      <c r="C32" s="349"/>
      <c r="D32" s="349"/>
      <c r="E32" s="349"/>
      <c r="F32" s="349"/>
      <c r="G32" s="349"/>
      <c r="H32" s="349"/>
      <c r="I32" s="349"/>
      <c r="J32" s="349"/>
      <c r="K32" s="349"/>
      <c r="L32" s="349"/>
      <c r="M32" s="349"/>
    </row>
    <row r="33" spans="1:16" x14ac:dyDescent="0.25">
      <c r="A33" s="31" t="s">
        <v>21</v>
      </c>
      <c r="B33" s="16" t="s">
        <v>31</v>
      </c>
      <c r="C33" s="16" t="s">
        <v>32</v>
      </c>
      <c r="D33" s="16" t="s">
        <v>33</v>
      </c>
      <c r="E33" s="16" t="s">
        <v>34</v>
      </c>
      <c r="F33" s="16" t="s">
        <v>35</v>
      </c>
      <c r="G33" s="16" t="s">
        <v>36</v>
      </c>
      <c r="H33" s="16" t="s">
        <v>37</v>
      </c>
      <c r="I33" s="16" t="s">
        <v>38</v>
      </c>
      <c r="J33" s="16" t="s">
        <v>39</v>
      </c>
      <c r="K33" s="16" t="s">
        <v>40</v>
      </c>
      <c r="L33" s="16" t="s">
        <v>41</v>
      </c>
      <c r="M33" s="16" t="s">
        <v>42</v>
      </c>
      <c r="N33" s="16" t="s">
        <v>51</v>
      </c>
      <c r="O33" s="16" t="s">
        <v>44</v>
      </c>
      <c r="P33" s="16" t="s">
        <v>45</v>
      </c>
    </row>
    <row r="34" spans="1:16" x14ac:dyDescent="0.25">
      <c r="A34" s="32" t="str">
        <f>+A25</f>
        <v>Servicio tecnico</v>
      </c>
      <c r="B34" s="20">
        <f>+B25*1.055</f>
        <v>17.613620624999996</v>
      </c>
      <c r="C34" s="20">
        <f t="shared" ref="C34:M34" si="7">+C25*1.055</f>
        <v>21.136344749999996</v>
      </c>
      <c r="D34" s="20">
        <f t="shared" si="7"/>
        <v>27.007551624999994</v>
      </c>
      <c r="E34" s="20">
        <f t="shared" si="7"/>
        <v>28.181792999999995</v>
      </c>
      <c r="F34" s="20">
        <f t="shared" si="7"/>
        <v>32.878758499999996</v>
      </c>
      <c r="G34" s="20">
        <f t="shared" si="7"/>
        <v>50.492379124999992</v>
      </c>
      <c r="H34" s="20">
        <f t="shared" si="7"/>
        <v>36.401482624999993</v>
      </c>
      <c r="I34" s="20">
        <f t="shared" si="7"/>
        <v>25.833310249999993</v>
      </c>
      <c r="J34" s="20">
        <f t="shared" si="7"/>
        <v>27.007551624999994</v>
      </c>
      <c r="K34" s="20">
        <f t="shared" si="7"/>
        <v>21.136344749999996</v>
      </c>
      <c r="L34" s="20">
        <f t="shared" si="7"/>
        <v>54.015103249999989</v>
      </c>
      <c r="M34" s="20">
        <f t="shared" si="7"/>
        <v>61.060551499999995</v>
      </c>
      <c r="N34" s="33">
        <f>+SUM(B34:M34)</f>
        <v>402.76479162499987</v>
      </c>
      <c r="O34" s="33">
        <f>+IF(N34&lt;=0,"0",(AVERAGE(B34:M34)))</f>
        <v>33.563732635416656</v>
      </c>
      <c r="P34" s="18">
        <f>+O34/22</f>
        <v>1.5256242107007572</v>
      </c>
    </row>
    <row r="35" spans="1:16" x14ac:dyDescent="0.25">
      <c r="A35" s="32" t="str">
        <f>+A26</f>
        <v>Disco SSD (500gb)</v>
      </c>
      <c r="B35" s="20">
        <f t="shared" ref="B35:M38" si="8">+B26*1.055</f>
        <v>11.742413749999997</v>
      </c>
      <c r="C35" s="20">
        <f t="shared" si="8"/>
        <v>14.090896499999998</v>
      </c>
      <c r="D35" s="20">
        <f t="shared" si="8"/>
        <v>18.787861999999997</v>
      </c>
      <c r="E35" s="20">
        <f t="shared" si="8"/>
        <v>16.439379249999998</v>
      </c>
      <c r="F35" s="20">
        <f t="shared" si="8"/>
        <v>17.613620624999996</v>
      </c>
      <c r="G35" s="20">
        <f t="shared" si="8"/>
        <v>16.439379249999998</v>
      </c>
      <c r="H35" s="20">
        <f t="shared" si="8"/>
        <v>22.310586124999993</v>
      </c>
      <c r="I35" s="20">
        <f t="shared" si="8"/>
        <v>15.265137874999999</v>
      </c>
      <c r="J35" s="20">
        <f t="shared" si="8"/>
        <v>16.439379249999998</v>
      </c>
      <c r="K35" s="20">
        <f t="shared" si="8"/>
        <v>15.265137874999999</v>
      </c>
      <c r="L35" s="20">
        <f t="shared" si="8"/>
        <v>32.878758499999996</v>
      </c>
      <c r="M35" s="20">
        <f t="shared" si="8"/>
        <v>30.530275749999998</v>
      </c>
      <c r="N35" s="33">
        <f>+SUM(B35:M35)</f>
        <v>227.80282674999995</v>
      </c>
      <c r="O35" s="33">
        <f>+IF(N35&lt;=0,"0",(AVERAGE(B35:M35)))</f>
        <v>18.983568895833329</v>
      </c>
      <c r="P35" s="18">
        <f>+O35/22</f>
        <v>0.86288949526515135</v>
      </c>
    </row>
    <row r="36" spans="1:16" x14ac:dyDescent="0.25">
      <c r="A36" s="32" t="str">
        <f>+A27</f>
        <v>Memoria RAM (DDR5 2x16gb)</v>
      </c>
      <c r="B36" s="20">
        <f t="shared" si="8"/>
        <v>8.2196896249999991</v>
      </c>
      <c r="C36" s="20">
        <f t="shared" si="8"/>
        <v>10.568172374999998</v>
      </c>
      <c r="D36" s="20">
        <f t="shared" si="8"/>
        <v>14.090896499999998</v>
      </c>
      <c r="E36" s="20">
        <f t="shared" si="8"/>
        <v>12.916655124999997</v>
      </c>
      <c r="F36" s="20">
        <f t="shared" si="8"/>
        <v>12.916655124999997</v>
      </c>
      <c r="G36" s="20">
        <f t="shared" si="8"/>
        <v>14.090896499999998</v>
      </c>
      <c r="H36" s="20">
        <f t="shared" si="8"/>
        <v>17.613620624999996</v>
      </c>
      <c r="I36" s="20">
        <f t="shared" si="8"/>
        <v>15.265137874999999</v>
      </c>
      <c r="J36" s="20">
        <f t="shared" si="8"/>
        <v>17.613620624999996</v>
      </c>
      <c r="K36" s="20">
        <f t="shared" si="8"/>
        <v>16.439379249999998</v>
      </c>
      <c r="L36" s="20">
        <f t="shared" si="8"/>
        <v>28.181792999999995</v>
      </c>
      <c r="M36" s="20">
        <f t="shared" si="8"/>
        <v>28.181792999999995</v>
      </c>
      <c r="N36" s="33">
        <f>+SUM(B36:M36)</f>
        <v>196.09830962499996</v>
      </c>
      <c r="O36" s="33">
        <f>+IF(N36&lt;=0,"0",(AVERAGE(B36:M36)))</f>
        <v>16.341525802083329</v>
      </c>
      <c r="P36" s="18">
        <f>+O36/22</f>
        <v>0.74279662736742402</v>
      </c>
    </row>
    <row r="37" spans="1:16" x14ac:dyDescent="0.25">
      <c r="A37" s="32" t="str">
        <f>+A28</f>
        <v>Tarjeta grafica (4060)</v>
      </c>
      <c r="B37" s="20">
        <f t="shared" si="8"/>
        <v>2.3484827499999996</v>
      </c>
      <c r="C37" s="20">
        <f t="shared" si="8"/>
        <v>4.6969654999999992</v>
      </c>
      <c r="D37" s="20">
        <f t="shared" si="8"/>
        <v>1.1742413749999998</v>
      </c>
      <c r="E37" s="20">
        <f t="shared" si="8"/>
        <v>2.3484827499999996</v>
      </c>
      <c r="F37" s="20">
        <f t="shared" si="8"/>
        <v>3.5227241249999994</v>
      </c>
      <c r="G37" s="20">
        <f t="shared" si="8"/>
        <v>4.6969654999999992</v>
      </c>
      <c r="H37" s="20">
        <f t="shared" si="8"/>
        <v>3.5227241249999994</v>
      </c>
      <c r="I37" s="20">
        <f t="shared" si="8"/>
        <v>3.5227241249999994</v>
      </c>
      <c r="J37" s="20">
        <f t="shared" si="8"/>
        <v>2.3484827499999996</v>
      </c>
      <c r="K37" s="20">
        <f t="shared" si="8"/>
        <v>3.5227241249999994</v>
      </c>
      <c r="L37" s="20">
        <f t="shared" si="8"/>
        <v>8.2196896249999991</v>
      </c>
      <c r="M37" s="20">
        <f t="shared" si="8"/>
        <v>12.916655124999997</v>
      </c>
      <c r="N37" s="33">
        <f>+SUM(B37:M37)</f>
        <v>52.840861874999995</v>
      </c>
      <c r="O37" s="33">
        <f>+IF(N37&lt;=0,"0",(AVERAGE(B37:M37)))</f>
        <v>4.4034051562499998</v>
      </c>
      <c r="P37" s="18">
        <f>+O37/22</f>
        <v>0.20015477982954544</v>
      </c>
    </row>
    <row r="38" spans="1:16" x14ac:dyDescent="0.25">
      <c r="A38" s="32" t="str">
        <f>+A29</f>
        <v>Memoria USB (64gb)</v>
      </c>
      <c r="B38" s="20">
        <f t="shared" si="8"/>
        <v>17.613620624999996</v>
      </c>
      <c r="C38" s="20">
        <f t="shared" si="8"/>
        <v>18.787861999999997</v>
      </c>
      <c r="D38" s="20">
        <f t="shared" si="8"/>
        <v>22.310586124999993</v>
      </c>
      <c r="E38" s="20">
        <f t="shared" si="8"/>
        <v>23.484827499999994</v>
      </c>
      <c r="F38" s="20">
        <f t="shared" si="8"/>
        <v>34.052999874999998</v>
      </c>
      <c r="G38" s="20">
        <f t="shared" si="8"/>
        <v>30.530275749999998</v>
      </c>
      <c r="H38" s="20">
        <f t="shared" si="8"/>
        <v>41.09844812499999</v>
      </c>
      <c r="I38" s="20">
        <f t="shared" si="8"/>
        <v>28.181792999999995</v>
      </c>
      <c r="J38" s="20">
        <f t="shared" si="8"/>
        <v>37.575723999999994</v>
      </c>
      <c r="K38" s="20">
        <f t="shared" si="8"/>
        <v>49.318137749999991</v>
      </c>
      <c r="L38" s="20">
        <f t="shared" si="8"/>
        <v>69.280241124999975</v>
      </c>
      <c r="M38" s="20">
        <f t="shared" si="8"/>
        <v>71.628723874999977</v>
      </c>
      <c r="N38" s="33">
        <f>+SUM(B38:M38)</f>
        <v>443.86323974999993</v>
      </c>
      <c r="O38" s="33">
        <f>+IF(N38&lt;=0,"0",(AVERAGE(B38:M38)))</f>
        <v>36.988603312499997</v>
      </c>
      <c r="P38" s="18">
        <f>+O38/22</f>
        <v>1.6813001505681817</v>
      </c>
    </row>
    <row r="39" spans="1:16" x14ac:dyDescent="0.25">
      <c r="A39" s="34" t="s">
        <v>4</v>
      </c>
      <c r="B39" s="19">
        <f>SUM(B34:B38)</f>
        <v>57.537827374999992</v>
      </c>
      <c r="C39" s="19">
        <f t="shared" ref="C39:P39" si="9">SUM(C34:C38)</f>
        <v>69.280241124999975</v>
      </c>
      <c r="D39" s="19">
        <f t="shared" si="9"/>
        <v>83.371137624999989</v>
      </c>
      <c r="E39" s="19">
        <f t="shared" si="9"/>
        <v>83.371137624999989</v>
      </c>
      <c r="F39" s="19">
        <f t="shared" si="9"/>
        <v>100.98475824999998</v>
      </c>
      <c r="G39" s="19">
        <f t="shared" si="9"/>
        <v>116.24989612499999</v>
      </c>
      <c r="H39" s="19">
        <f t="shared" si="9"/>
        <v>120.94686162499997</v>
      </c>
      <c r="I39" s="19">
        <f t="shared" si="9"/>
        <v>88.068103124999979</v>
      </c>
      <c r="J39" s="19">
        <f t="shared" si="9"/>
        <v>100.98475824999998</v>
      </c>
      <c r="K39" s="19">
        <f t="shared" si="9"/>
        <v>105.68172374999997</v>
      </c>
      <c r="L39" s="19">
        <f t="shared" si="9"/>
        <v>192.57558549999996</v>
      </c>
      <c r="M39" s="19">
        <f t="shared" si="9"/>
        <v>204.31799924999996</v>
      </c>
      <c r="N39" s="19">
        <f t="shared" si="9"/>
        <v>1323.3700296249997</v>
      </c>
      <c r="O39" s="19">
        <f t="shared" si="9"/>
        <v>110.28083580208332</v>
      </c>
      <c r="P39" s="19">
        <f t="shared" si="9"/>
        <v>5.01276526373106</v>
      </c>
    </row>
    <row r="41" spans="1:16" ht="21" x14ac:dyDescent="0.35">
      <c r="A41" s="349" t="s">
        <v>52</v>
      </c>
      <c r="B41" s="349"/>
      <c r="C41" s="349"/>
      <c r="D41" s="349"/>
      <c r="E41" s="349"/>
      <c r="F41" s="349"/>
      <c r="G41" s="349"/>
      <c r="H41" s="349"/>
      <c r="I41" s="349"/>
      <c r="J41" s="349"/>
      <c r="K41" s="349"/>
      <c r="L41" s="349"/>
      <c r="M41" s="349"/>
    </row>
    <row r="42" spans="1:16" x14ac:dyDescent="0.25">
      <c r="A42" s="31" t="s">
        <v>21</v>
      </c>
      <c r="B42" s="16" t="s">
        <v>31</v>
      </c>
      <c r="C42" s="16" t="s">
        <v>32</v>
      </c>
      <c r="D42" s="16" t="s">
        <v>33</v>
      </c>
      <c r="E42" s="16" t="s">
        <v>34</v>
      </c>
      <c r="F42" s="16" t="s">
        <v>35</v>
      </c>
      <c r="G42" s="16" t="s">
        <v>36</v>
      </c>
      <c r="H42" s="16" t="s">
        <v>37</v>
      </c>
      <c r="I42" s="16" t="s">
        <v>38</v>
      </c>
      <c r="J42" s="16" t="s">
        <v>39</v>
      </c>
      <c r="K42" s="16" t="s">
        <v>40</v>
      </c>
      <c r="L42" s="16" t="s">
        <v>41</v>
      </c>
      <c r="M42" s="16" t="s">
        <v>42</v>
      </c>
      <c r="N42" s="16" t="s">
        <v>53</v>
      </c>
      <c r="O42" s="16" t="s">
        <v>44</v>
      </c>
      <c r="P42" s="16" t="s">
        <v>45</v>
      </c>
    </row>
    <row r="43" spans="1:16" x14ac:dyDescent="0.25">
      <c r="A43" s="32" t="str">
        <f>+A34</f>
        <v>Servicio tecnico</v>
      </c>
      <c r="B43" s="20">
        <f>+B34*1.055</f>
        <v>18.582369759374995</v>
      </c>
      <c r="C43" s="20">
        <f t="shared" ref="C43:M43" si="10">+C34*1.055</f>
        <v>22.298843711249994</v>
      </c>
      <c r="D43" s="20">
        <f t="shared" si="10"/>
        <v>28.492966964374993</v>
      </c>
      <c r="E43" s="20">
        <f t="shared" si="10"/>
        <v>29.731791614999992</v>
      </c>
      <c r="F43" s="20">
        <f t="shared" si="10"/>
        <v>34.687090217499993</v>
      </c>
      <c r="G43" s="20">
        <f t="shared" si="10"/>
        <v>53.269459976874991</v>
      </c>
      <c r="H43" s="20">
        <f t="shared" si="10"/>
        <v>38.403564169374988</v>
      </c>
      <c r="I43" s="20">
        <f t="shared" si="10"/>
        <v>27.254142313749991</v>
      </c>
      <c r="J43" s="20">
        <f t="shared" si="10"/>
        <v>28.492966964374993</v>
      </c>
      <c r="K43" s="20">
        <f t="shared" si="10"/>
        <v>22.298843711249994</v>
      </c>
      <c r="L43" s="20">
        <f t="shared" si="10"/>
        <v>56.985933928749986</v>
      </c>
      <c r="M43" s="20">
        <f t="shared" si="10"/>
        <v>64.418881832499991</v>
      </c>
      <c r="N43" s="33">
        <f>+SUM(B43:M43)</f>
        <v>424.91685516437491</v>
      </c>
      <c r="O43" s="33">
        <f>+IF(N43&lt;=0,"0",(AVERAGE(B43:M43)))</f>
        <v>35.409737930364578</v>
      </c>
      <c r="P43" s="18">
        <f>+O43/22</f>
        <v>1.6095335422892989</v>
      </c>
    </row>
    <row r="44" spans="1:16" x14ac:dyDescent="0.25">
      <c r="A44" s="32" t="str">
        <f>+A35</f>
        <v>Disco SSD (500gb)</v>
      </c>
      <c r="B44" s="20">
        <f t="shared" ref="B44:M47" si="11">+B35*1.055</f>
        <v>12.388246506249997</v>
      </c>
      <c r="C44" s="20">
        <f t="shared" si="11"/>
        <v>14.865895807499996</v>
      </c>
      <c r="D44" s="20">
        <f t="shared" si="11"/>
        <v>19.821194409999997</v>
      </c>
      <c r="E44" s="20">
        <f t="shared" si="11"/>
        <v>17.343545108749996</v>
      </c>
      <c r="F44" s="20">
        <f t="shared" si="11"/>
        <v>18.582369759374995</v>
      </c>
      <c r="G44" s="20">
        <f t="shared" si="11"/>
        <v>17.343545108749996</v>
      </c>
      <c r="H44" s="20">
        <f t="shared" si="11"/>
        <v>23.537668361874992</v>
      </c>
      <c r="I44" s="20">
        <f t="shared" si="11"/>
        <v>16.104720458124998</v>
      </c>
      <c r="J44" s="20">
        <f t="shared" si="11"/>
        <v>17.343545108749996</v>
      </c>
      <c r="K44" s="20">
        <f t="shared" si="11"/>
        <v>16.104720458124998</v>
      </c>
      <c r="L44" s="20">
        <f t="shared" si="11"/>
        <v>34.687090217499993</v>
      </c>
      <c r="M44" s="20">
        <f t="shared" si="11"/>
        <v>32.209440916249996</v>
      </c>
      <c r="N44" s="33">
        <f>+SUM(B44:M44)</f>
        <v>240.33198222124994</v>
      </c>
      <c r="O44" s="33">
        <f>+IF(N44&lt;=0,"0",(AVERAGE(B44:M44)))</f>
        <v>20.027665185104162</v>
      </c>
      <c r="P44" s="18">
        <f>+O44/22</f>
        <v>0.91034841750473461</v>
      </c>
    </row>
    <row r="45" spans="1:16" x14ac:dyDescent="0.25">
      <c r="A45" s="32" t="str">
        <f>+A36</f>
        <v>Memoria RAM (DDR5 2x16gb)</v>
      </c>
      <c r="B45" s="20">
        <f t="shared" si="11"/>
        <v>8.6717725543749982</v>
      </c>
      <c r="C45" s="20">
        <f t="shared" si="11"/>
        <v>11.149421855624997</v>
      </c>
      <c r="D45" s="20">
        <f t="shared" si="11"/>
        <v>14.865895807499996</v>
      </c>
      <c r="E45" s="20">
        <f t="shared" si="11"/>
        <v>13.627071156874996</v>
      </c>
      <c r="F45" s="20">
        <f t="shared" si="11"/>
        <v>13.627071156874996</v>
      </c>
      <c r="G45" s="20">
        <f t="shared" si="11"/>
        <v>14.865895807499996</v>
      </c>
      <c r="H45" s="20">
        <f t="shared" si="11"/>
        <v>18.582369759374995</v>
      </c>
      <c r="I45" s="20">
        <f t="shared" si="11"/>
        <v>16.104720458124998</v>
      </c>
      <c r="J45" s="20">
        <f t="shared" si="11"/>
        <v>18.582369759374995</v>
      </c>
      <c r="K45" s="20">
        <f t="shared" si="11"/>
        <v>17.343545108749996</v>
      </c>
      <c r="L45" s="20">
        <f t="shared" si="11"/>
        <v>29.731791614999992</v>
      </c>
      <c r="M45" s="20">
        <f t="shared" si="11"/>
        <v>29.731791614999992</v>
      </c>
      <c r="N45" s="33">
        <f>+SUM(B45:M45)</f>
        <v>206.88371665437495</v>
      </c>
      <c r="O45" s="33">
        <f>+IF(N45&lt;=0,"0",(AVERAGE(B45:M45)))</f>
        <v>17.240309721197914</v>
      </c>
      <c r="P45" s="18">
        <f>+O45/22</f>
        <v>0.78365044187263244</v>
      </c>
    </row>
    <row r="46" spans="1:16" x14ac:dyDescent="0.25">
      <c r="A46" s="32" t="str">
        <f>+A37</f>
        <v>Tarjeta grafica (4060)</v>
      </c>
      <c r="B46" s="20">
        <f t="shared" si="11"/>
        <v>2.4776493012499996</v>
      </c>
      <c r="C46" s="20">
        <f t="shared" si="11"/>
        <v>4.9552986024999992</v>
      </c>
      <c r="D46" s="20">
        <f t="shared" si="11"/>
        <v>1.2388246506249998</v>
      </c>
      <c r="E46" s="20">
        <f t="shared" si="11"/>
        <v>2.4776493012499996</v>
      </c>
      <c r="F46" s="20">
        <f t="shared" si="11"/>
        <v>3.716473951874999</v>
      </c>
      <c r="G46" s="20">
        <f t="shared" si="11"/>
        <v>4.9552986024999992</v>
      </c>
      <c r="H46" s="20">
        <f t="shared" si="11"/>
        <v>3.716473951874999</v>
      </c>
      <c r="I46" s="20">
        <f t="shared" si="11"/>
        <v>3.716473951874999</v>
      </c>
      <c r="J46" s="20">
        <f t="shared" si="11"/>
        <v>2.4776493012499996</v>
      </c>
      <c r="K46" s="20">
        <f t="shared" si="11"/>
        <v>3.716473951874999</v>
      </c>
      <c r="L46" s="20">
        <f t="shared" si="11"/>
        <v>8.6717725543749982</v>
      </c>
      <c r="M46" s="20">
        <f t="shared" si="11"/>
        <v>13.627071156874996</v>
      </c>
      <c r="N46" s="33">
        <f>+SUM(B46:M46)</f>
        <v>55.747109278124988</v>
      </c>
      <c r="O46" s="33">
        <f>+IF(N46&lt;=0,"0",(AVERAGE(B46:M46)))</f>
        <v>4.6455924398437487</v>
      </c>
      <c r="P46" s="18">
        <f>+O46/22</f>
        <v>0.2111632927201704</v>
      </c>
    </row>
    <row r="47" spans="1:16" x14ac:dyDescent="0.25">
      <c r="A47" s="32" t="str">
        <f>+A38</f>
        <v>Memoria USB (64gb)</v>
      </c>
      <c r="B47" s="20">
        <f t="shared" si="11"/>
        <v>18.582369759374995</v>
      </c>
      <c r="C47" s="20">
        <f t="shared" si="11"/>
        <v>19.821194409999997</v>
      </c>
      <c r="D47" s="20">
        <f t="shared" si="11"/>
        <v>23.537668361874992</v>
      </c>
      <c r="E47" s="20">
        <f t="shared" si="11"/>
        <v>24.776493012499994</v>
      </c>
      <c r="F47" s="20">
        <f t="shared" si="11"/>
        <v>35.925914868124998</v>
      </c>
      <c r="G47" s="20">
        <f t="shared" si="11"/>
        <v>32.209440916249996</v>
      </c>
      <c r="H47" s="20">
        <f t="shared" si="11"/>
        <v>43.358862771874989</v>
      </c>
      <c r="I47" s="20">
        <f t="shared" si="11"/>
        <v>29.731791614999992</v>
      </c>
      <c r="J47" s="20">
        <f t="shared" si="11"/>
        <v>39.642388819999994</v>
      </c>
      <c r="K47" s="20">
        <f t="shared" si="11"/>
        <v>52.030635326249985</v>
      </c>
      <c r="L47" s="20">
        <f t="shared" si="11"/>
        <v>73.090654386874974</v>
      </c>
      <c r="M47" s="20">
        <f t="shared" si="11"/>
        <v>75.568303688124971</v>
      </c>
      <c r="N47" s="33">
        <f>+SUM(B47:M47)</f>
        <v>468.27571793624986</v>
      </c>
      <c r="O47" s="33">
        <f>+IF(N47&lt;=0,"0",(AVERAGE(B47:M47)))</f>
        <v>39.022976494687491</v>
      </c>
      <c r="P47" s="18">
        <f>+O47/22</f>
        <v>1.7737716588494314</v>
      </c>
    </row>
    <row r="48" spans="1:16" x14ac:dyDescent="0.25">
      <c r="A48" s="34" t="s">
        <v>4</v>
      </c>
      <c r="B48" s="19">
        <f>SUM(B43:B47)</f>
        <v>60.702407880624975</v>
      </c>
      <c r="C48" s="19">
        <f t="shared" ref="C48:P48" si="12">SUM(C43:C47)</f>
        <v>73.090654386874988</v>
      </c>
      <c r="D48" s="19">
        <f t="shared" si="12"/>
        <v>87.956550194374984</v>
      </c>
      <c r="E48" s="19">
        <f t="shared" si="12"/>
        <v>87.956550194374969</v>
      </c>
      <c r="F48" s="19">
        <f t="shared" si="12"/>
        <v>106.53891995374997</v>
      </c>
      <c r="G48" s="19">
        <f t="shared" si="12"/>
        <v>122.64364041187497</v>
      </c>
      <c r="H48" s="19">
        <f t="shared" si="12"/>
        <v>127.59893901437496</v>
      </c>
      <c r="I48" s="19">
        <f t="shared" si="12"/>
        <v>92.911848796874978</v>
      </c>
      <c r="J48" s="19">
        <f t="shared" si="12"/>
        <v>106.53891995374998</v>
      </c>
      <c r="K48" s="19">
        <f t="shared" si="12"/>
        <v>111.49421855624996</v>
      </c>
      <c r="L48" s="19">
        <f t="shared" si="12"/>
        <v>203.16724270249995</v>
      </c>
      <c r="M48" s="19">
        <f t="shared" si="12"/>
        <v>215.55548920874992</v>
      </c>
      <c r="N48" s="19">
        <f t="shared" si="12"/>
        <v>1396.1553812543748</v>
      </c>
      <c r="O48" s="19">
        <f t="shared" si="12"/>
        <v>116.34628177119791</v>
      </c>
      <c r="P48" s="19">
        <f t="shared" si="12"/>
        <v>5.2884673532362676</v>
      </c>
    </row>
    <row r="56" spans="1:13" x14ac:dyDescent="0.25">
      <c r="B56" s="348" t="s">
        <v>78</v>
      </c>
      <c r="C56" s="348"/>
      <c r="D56" s="348"/>
      <c r="E56" s="348"/>
      <c r="F56" s="348"/>
      <c r="G56" s="348"/>
      <c r="H56" s="348"/>
      <c r="I56" s="348"/>
      <c r="J56" s="348"/>
      <c r="K56" s="348"/>
      <c r="L56" s="348"/>
      <c r="M56" s="348"/>
    </row>
    <row r="58" spans="1:13" x14ac:dyDescent="0.25">
      <c r="A58" s="35" t="s">
        <v>57</v>
      </c>
      <c r="B58" s="16" t="s">
        <v>31</v>
      </c>
      <c r="C58" s="16" t="s">
        <v>32</v>
      </c>
      <c r="D58" s="16" t="s">
        <v>33</v>
      </c>
      <c r="E58" s="16" t="s">
        <v>34</v>
      </c>
      <c r="F58" s="16" t="s">
        <v>35</v>
      </c>
      <c r="G58" s="16" t="s">
        <v>36</v>
      </c>
      <c r="H58" s="16" t="s">
        <v>37</v>
      </c>
      <c r="I58" s="16" t="s">
        <v>38</v>
      </c>
      <c r="J58" s="16" t="s">
        <v>39</v>
      </c>
      <c r="K58" s="16" t="s">
        <v>40</v>
      </c>
      <c r="L58" s="16" t="s">
        <v>41</v>
      </c>
      <c r="M58" s="16" t="s">
        <v>42</v>
      </c>
    </row>
    <row r="59" spans="1:13" x14ac:dyDescent="0.25">
      <c r="B59" s="19">
        <f>+B12</f>
        <v>49</v>
      </c>
      <c r="C59" s="19">
        <f t="shared" ref="C59:M59" si="13">+C12</f>
        <v>59</v>
      </c>
      <c r="D59" s="19">
        <f t="shared" si="13"/>
        <v>71</v>
      </c>
      <c r="E59" s="19">
        <f t="shared" si="13"/>
        <v>71</v>
      </c>
      <c r="F59" s="19">
        <f t="shared" si="13"/>
        <v>86</v>
      </c>
      <c r="G59" s="19">
        <f t="shared" si="13"/>
        <v>99</v>
      </c>
      <c r="H59" s="19">
        <f t="shared" si="13"/>
        <v>103</v>
      </c>
      <c r="I59" s="19">
        <f t="shared" si="13"/>
        <v>75</v>
      </c>
      <c r="J59" s="19">
        <f t="shared" si="13"/>
        <v>86</v>
      </c>
      <c r="K59" s="19">
        <f t="shared" si="13"/>
        <v>90</v>
      </c>
      <c r="L59" s="19">
        <f t="shared" si="13"/>
        <v>164</v>
      </c>
      <c r="M59" s="19">
        <f t="shared" si="13"/>
        <v>174</v>
      </c>
    </row>
    <row r="61" spans="1:13" x14ac:dyDescent="0.25">
      <c r="A61" s="35" t="s">
        <v>58</v>
      </c>
      <c r="B61" s="16" t="s">
        <v>31</v>
      </c>
      <c r="C61" s="16" t="s">
        <v>32</v>
      </c>
      <c r="D61" s="16" t="s">
        <v>33</v>
      </c>
      <c r="E61" s="16" t="s">
        <v>34</v>
      </c>
      <c r="F61" s="16" t="s">
        <v>35</v>
      </c>
      <c r="G61" s="16" t="s">
        <v>36</v>
      </c>
      <c r="H61" s="16" t="s">
        <v>37</v>
      </c>
      <c r="I61" s="16" t="s">
        <v>38</v>
      </c>
      <c r="J61" s="16" t="s">
        <v>39</v>
      </c>
      <c r="K61" s="16" t="s">
        <v>40</v>
      </c>
      <c r="L61" s="16" t="s">
        <v>41</v>
      </c>
      <c r="M61" s="16" t="s">
        <v>42</v>
      </c>
    </row>
    <row r="62" spans="1:13" x14ac:dyDescent="0.25">
      <c r="B62" s="19">
        <f>+B21</f>
        <v>51.694999999999993</v>
      </c>
      <c r="C62" s="19">
        <f t="shared" ref="C62:M62" si="14">+C21</f>
        <v>62.24499999999999</v>
      </c>
      <c r="D62" s="19">
        <f t="shared" si="14"/>
        <v>74.904999999999987</v>
      </c>
      <c r="E62" s="19">
        <f t="shared" si="14"/>
        <v>74.905000000000001</v>
      </c>
      <c r="F62" s="19">
        <f t="shared" si="14"/>
        <v>90.72999999999999</v>
      </c>
      <c r="G62" s="19">
        <f t="shared" si="14"/>
        <v>104.44499999999999</v>
      </c>
      <c r="H62" s="19">
        <f t="shared" si="14"/>
        <v>108.66500000000001</v>
      </c>
      <c r="I62" s="19">
        <f t="shared" si="14"/>
        <v>79.125</v>
      </c>
      <c r="J62" s="19">
        <f t="shared" si="14"/>
        <v>90.72999999999999</v>
      </c>
      <c r="K62" s="19">
        <f t="shared" si="14"/>
        <v>94.949999999999989</v>
      </c>
      <c r="L62" s="19">
        <f t="shared" si="14"/>
        <v>173.01999999999998</v>
      </c>
      <c r="M62" s="19">
        <f t="shared" si="14"/>
        <v>183.57</v>
      </c>
    </row>
    <row r="64" spans="1:13" x14ac:dyDescent="0.25">
      <c r="A64" s="35" t="s">
        <v>59</v>
      </c>
      <c r="B64" s="16" t="s">
        <v>31</v>
      </c>
      <c r="C64" s="16" t="s">
        <v>32</v>
      </c>
      <c r="D64" s="16" t="s">
        <v>33</v>
      </c>
      <c r="E64" s="16" t="s">
        <v>34</v>
      </c>
      <c r="F64" s="16" t="s">
        <v>35</v>
      </c>
      <c r="G64" s="16" t="s">
        <v>36</v>
      </c>
      <c r="H64" s="16" t="s">
        <v>37</v>
      </c>
      <c r="I64" s="16" t="s">
        <v>38</v>
      </c>
      <c r="J64" s="16" t="s">
        <v>39</v>
      </c>
      <c r="K64" s="16" t="s">
        <v>40</v>
      </c>
      <c r="L64" s="16" t="s">
        <v>41</v>
      </c>
      <c r="M64" s="16" t="s">
        <v>42</v>
      </c>
    </row>
    <row r="65" spans="1:13" x14ac:dyDescent="0.25">
      <c r="B65" s="19">
        <f>+B30</f>
        <v>54.538224999999997</v>
      </c>
      <c r="C65" s="19">
        <f t="shared" ref="C65:M65" si="15">+C30</f>
        <v>65.668475000000001</v>
      </c>
      <c r="D65" s="19">
        <f t="shared" si="15"/>
        <v>79.024774999999991</v>
      </c>
      <c r="E65" s="19">
        <f t="shared" si="15"/>
        <v>79.024774999999991</v>
      </c>
      <c r="F65" s="19">
        <f t="shared" si="15"/>
        <v>95.72014999999999</v>
      </c>
      <c r="G65" s="19">
        <f t="shared" si="15"/>
        <v>110.18947499999999</v>
      </c>
      <c r="H65" s="19">
        <f t="shared" si="15"/>
        <v>114.64157499999997</v>
      </c>
      <c r="I65" s="19">
        <f t="shared" si="15"/>
        <v>83.476874999999993</v>
      </c>
      <c r="J65" s="19">
        <f t="shared" si="15"/>
        <v>95.72014999999999</v>
      </c>
      <c r="K65" s="19">
        <f t="shared" si="15"/>
        <v>100.17224999999999</v>
      </c>
      <c r="L65" s="19">
        <f t="shared" si="15"/>
        <v>182.53609999999998</v>
      </c>
      <c r="M65" s="19">
        <f t="shared" si="15"/>
        <v>193.66634999999997</v>
      </c>
    </row>
    <row r="67" spans="1:13" x14ac:dyDescent="0.25">
      <c r="A67" s="35" t="s">
        <v>60</v>
      </c>
      <c r="B67" s="5" t="s">
        <v>31</v>
      </c>
      <c r="C67" s="36" t="s">
        <v>32</v>
      </c>
      <c r="D67" s="16" t="s">
        <v>33</v>
      </c>
      <c r="E67" s="16" t="s">
        <v>34</v>
      </c>
      <c r="F67" s="16" t="s">
        <v>35</v>
      </c>
      <c r="G67" s="16" t="s">
        <v>36</v>
      </c>
      <c r="H67" s="16" t="s">
        <v>37</v>
      </c>
      <c r="I67" s="16" t="s">
        <v>38</v>
      </c>
      <c r="J67" s="16" t="s">
        <v>39</v>
      </c>
      <c r="K67" s="16" t="s">
        <v>40</v>
      </c>
      <c r="L67" s="16" t="s">
        <v>41</v>
      </c>
      <c r="M67" s="16" t="s">
        <v>42</v>
      </c>
    </row>
    <row r="68" spans="1:13" x14ac:dyDescent="0.25">
      <c r="B68" s="19">
        <f>+B39</f>
        <v>57.537827374999992</v>
      </c>
      <c r="C68" s="19">
        <f t="shared" ref="C68:M68" si="16">+C39</f>
        <v>69.280241124999975</v>
      </c>
      <c r="D68" s="19">
        <f t="shared" si="16"/>
        <v>83.371137624999989</v>
      </c>
      <c r="E68" s="19">
        <f t="shared" si="16"/>
        <v>83.371137624999989</v>
      </c>
      <c r="F68" s="19">
        <f t="shared" si="16"/>
        <v>100.98475824999998</v>
      </c>
      <c r="G68" s="19">
        <f t="shared" si="16"/>
        <v>116.24989612499999</v>
      </c>
      <c r="H68" s="19">
        <f t="shared" si="16"/>
        <v>120.94686162499997</v>
      </c>
      <c r="I68" s="19">
        <f t="shared" si="16"/>
        <v>88.068103124999979</v>
      </c>
      <c r="J68" s="19">
        <f t="shared" si="16"/>
        <v>100.98475824999998</v>
      </c>
      <c r="K68" s="19">
        <f t="shared" si="16"/>
        <v>105.68172374999997</v>
      </c>
      <c r="L68" s="19">
        <f t="shared" si="16"/>
        <v>192.57558549999996</v>
      </c>
      <c r="M68" s="19">
        <f t="shared" si="16"/>
        <v>204.31799924999996</v>
      </c>
    </row>
    <row r="70" spans="1:13" x14ac:dyDescent="0.25">
      <c r="A70" s="35" t="s">
        <v>61</v>
      </c>
      <c r="B70" s="5" t="s">
        <v>31</v>
      </c>
      <c r="C70" s="36" t="s">
        <v>32</v>
      </c>
      <c r="D70" s="16" t="s">
        <v>33</v>
      </c>
      <c r="E70" s="16" t="s">
        <v>34</v>
      </c>
      <c r="F70" s="16" t="s">
        <v>35</v>
      </c>
      <c r="G70" s="16" t="s">
        <v>36</v>
      </c>
      <c r="H70" s="16" t="s">
        <v>37</v>
      </c>
      <c r="I70" s="16" t="s">
        <v>38</v>
      </c>
      <c r="J70" s="16" t="s">
        <v>39</v>
      </c>
      <c r="K70" s="16" t="s">
        <v>40</v>
      </c>
      <c r="L70" s="16" t="s">
        <v>41</v>
      </c>
      <c r="M70" s="16" t="s">
        <v>42</v>
      </c>
    </row>
    <row r="71" spans="1:13" x14ac:dyDescent="0.25">
      <c r="B71" s="19">
        <f>+B48</f>
        <v>60.702407880624975</v>
      </c>
      <c r="C71" s="19">
        <f t="shared" ref="C71:M71" si="17">+C48</f>
        <v>73.090654386874988</v>
      </c>
      <c r="D71" s="19">
        <f t="shared" si="17"/>
        <v>87.956550194374984</v>
      </c>
      <c r="E71" s="19">
        <f t="shared" si="17"/>
        <v>87.956550194374969</v>
      </c>
      <c r="F71" s="19">
        <f t="shared" si="17"/>
        <v>106.53891995374997</v>
      </c>
      <c r="G71" s="19">
        <f t="shared" si="17"/>
        <v>122.64364041187497</v>
      </c>
      <c r="H71" s="19">
        <f t="shared" si="17"/>
        <v>127.59893901437496</v>
      </c>
      <c r="I71" s="19">
        <f t="shared" si="17"/>
        <v>92.911848796874978</v>
      </c>
      <c r="J71" s="19">
        <f t="shared" si="17"/>
        <v>106.53891995374998</v>
      </c>
      <c r="K71" s="19">
        <f t="shared" si="17"/>
        <v>111.49421855624996</v>
      </c>
      <c r="L71" s="19">
        <f t="shared" si="17"/>
        <v>203.16724270249995</v>
      </c>
      <c r="M71" s="19">
        <f t="shared" si="17"/>
        <v>215.55548920874992</v>
      </c>
    </row>
  </sheetData>
  <sheetProtection algorithmName="SHA-512" hashValue="uqVN5DsXPWxaqda/VEWVJBZ7f+NcA5vU4+zilwiAfMDbnjHxPTzIE9qEviXjj2POvLRD4RcRYnhq5EU/YeWh7Q==" saltValue="7I3sTbWw54AeuA8Kt3O9iA==" spinCount="100000" sheet="1" objects="1" scenarios="1"/>
  <mergeCells count="9">
    <mergeCell ref="A1:P1"/>
    <mergeCell ref="B56:M56"/>
    <mergeCell ref="A41:M41"/>
    <mergeCell ref="A2:M2"/>
    <mergeCell ref="A4:H4"/>
    <mergeCell ref="A5:M5"/>
    <mergeCell ref="A14:M14"/>
    <mergeCell ref="A23:M23"/>
    <mergeCell ref="A32:M32"/>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9EC65-2C5D-4C48-B3B0-A68270DA1098}">
  <sheetPr codeName="Hoja9">
    <tabColor theme="9" tint="0.39997558519241921"/>
  </sheetPr>
  <dimension ref="A1:P139"/>
  <sheetViews>
    <sheetView showGridLines="0" zoomScale="115" zoomScaleNormal="115" workbookViewId="0">
      <selection sqref="A1:P1"/>
    </sheetView>
  </sheetViews>
  <sheetFormatPr baseColWidth="10" defaultColWidth="11.42578125" defaultRowHeight="15" x14ac:dyDescent="0.25"/>
  <cols>
    <col min="1" max="1" width="43.5703125" style="15" customWidth="1"/>
    <col min="2" max="16384" width="11.42578125" style="15"/>
  </cols>
  <sheetData>
    <row r="1" spans="1:16" ht="30.75" customHeight="1" x14ac:dyDescent="0.25">
      <c r="A1" s="301" t="str">
        <f>+'3. Proyección Ventas'!A1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01"/>
      <c r="C1" s="301"/>
      <c r="D1" s="301"/>
      <c r="E1" s="301"/>
      <c r="F1" s="301"/>
      <c r="G1" s="301"/>
      <c r="H1" s="301"/>
      <c r="I1" s="301"/>
      <c r="J1" s="301"/>
      <c r="K1" s="301"/>
      <c r="L1" s="301"/>
      <c r="M1" s="301"/>
      <c r="N1" s="301"/>
      <c r="O1" s="301"/>
      <c r="P1" s="301"/>
    </row>
    <row r="3" spans="1:16" ht="26.25" x14ac:dyDescent="0.25">
      <c r="A3" s="352" t="s">
        <v>56</v>
      </c>
      <c r="B3" s="352"/>
      <c r="C3" s="352"/>
      <c r="D3" s="352"/>
      <c r="E3" s="352"/>
      <c r="F3" s="352"/>
      <c r="G3" s="352"/>
      <c r="H3" s="352"/>
      <c r="I3" s="352"/>
      <c r="J3" s="352"/>
      <c r="K3" s="352"/>
      <c r="L3" s="352"/>
      <c r="M3" s="352"/>
    </row>
    <row r="92" spans="1:16" s="23" customFormat="1" x14ac:dyDescent="0.25">
      <c r="A92" s="353"/>
      <c r="B92" s="353"/>
      <c r="C92" s="353"/>
      <c r="D92" s="353"/>
      <c r="E92" s="353"/>
      <c r="F92" s="353"/>
      <c r="G92" s="353"/>
      <c r="H92" s="353"/>
    </row>
    <row r="93" spans="1:16" s="23" customFormat="1" ht="21" x14ac:dyDescent="0.35">
      <c r="A93" s="351" t="s">
        <v>30</v>
      </c>
      <c r="B93" s="351"/>
      <c r="C93" s="351"/>
      <c r="D93" s="351"/>
      <c r="E93" s="351"/>
      <c r="F93" s="351"/>
      <c r="G93" s="351"/>
      <c r="H93" s="351"/>
      <c r="I93" s="351"/>
      <c r="J93" s="351"/>
      <c r="K93" s="351"/>
      <c r="L93" s="351"/>
      <c r="M93" s="351"/>
    </row>
    <row r="94" spans="1:16" s="23" customFormat="1" x14ac:dyDescent="0.25">
      <c r="A94" s="28" t="s">
        <v>21</v>
      </c>
      <c r="B94" s="24" t="s">
        <v>31</v>
      </c>
      <c r="C94" s="24" t="s">
        <v>32</v>
      </c>
      <c r="D94" s="24" t="s">
        <v>33</v>
      </c>
      <c r="E94" s="24" t="s">
        <v>34</v>
      </c>
      <c r="F94" s="24" t="s">
        <v>35</v>
      </c>
      <c r="G94" s="24" t="s">
        <v>36</v>
      </c>
      <c r="H94" s="24" t="s">
        <v>37</v>
      </c>
      <c r="I94" s="24" t="s">
        <v>38</v>
      </c>
      <c r="J94" s="24" t="s">
        <v>39</v>
      </c>
      <c r="K94" s="24" t="s">
        <v>40</v>
      </c>
      <c r="L94" s="24" t="s">
        <v>41</v>
      </c>
      <c r="M94" s="24" t="s">
        <v>42</v>
      </c>
      <c r="N94" s="24" t="s">
        <v>43</v>
      </c>
      <c r="O94" s="24" t="s">
        <v>44</v>
      </c>
      <c r="P94" s="24" t="s">
        <v>45</v>
      </c>
    </row>
    <row r="95" spans="1:16" s="23" customFormat="1" hidden="1" x14ac:dyDescent="0.25">
      <c r="A95" s="29" t="s">
        <v>128</v>
      </c>
      <c r="B95" s="25">
        <v>120</v>
      </c>
      <c r="C95" s="25">
        <v>120</v>
      </c>
      <c r="D95" s="25">
        <v>120</v>
      </c>
      <c r="E95" s="25">
        <v>120</v>
      </c>
      <c r="F95" s="25">
        <v>120</v>
      </c>
      <c r="G95" s="25">
        <v>120</v>
      </c>
      <c r="H95" s="25">
        <v>120</v>
      </c>
      <c r="I95" s="25">
        <v>120</v>
      </c>
      <c r="J95" s="25">
        <v>120</v>
      </c>
      <c r="K95" s="25">
        <v>120</v>
      </c>
      <c r="L95" s="25">
        <v>120</v>
      </c>
      <c r="M95" s="25">
        <v>120</v>
      </c>
      <c r="N95" s="25">
        <f>+SUM(B95:M95)</f>
        <v>1440</v>
      </c>
      <c r="O95" s="25">
        <f>+IF(N95&lt;=0,"0",(AVERAGE(B95:M95)))</f>
        <v>120</v>
      </c>
      <c r="P95" s="26">
        <f>+O95/22</f>
        <v>5.4545454545454541</v>
      </c>
    </row>
    <row r="96" spans="1:16" s="23" customFormat="1" hidden="1" x14ac:dyDescent="0.25">
      <c r="A96" s="29" t="s">
        <v>129</v>
      </c>
      <c r="B96" s="25">
        <v>110</v>
      </c>
      <c r="C96" s="25">
        <v>110</v>
      </c>
      <c r="D96" s="25">
        <v>110</v>
      </c>
      <c r="E96" s="25">
        <v>110</v>
      </c>
      <c r="F96" s="25">
        <v>110</v>
      </c>
      <c r="G96" s="25">
        <v>110</v>
      </c>
      <c r="H96" s="25">
        <v>110</v>
      </c>
      <c r="I96" s="25">
        <v>110</v>
      </c>
      <c r="J96" s="25">
        <v>110</v>
      </c>
      <c r="K96" s="25">
        <v>110</v>
      </c>
      <c r="L96" s="25">
        <v>110</v>
      </c>
      <c r="M96" s="25">
        <v>110</v>
      </c>
      <c r="N96" s="25">
        <f>+SUM(B96:M96)</f>
        <v>1320</v>
      </c>
      <c r="O96" s="25">
        <f>+IF(N96&lt;=0,"0",(AVERAGE(B96:M96)))</f>
        <v>110</v>
      </c>
      <c r="P96" s="26">
        <f>+O96/22</f>
        <v>5</v>
      </c>
    </row>
    <row r="97" spans="1:16" s="23" customFormat="1" hidden="1" x14ac:dyDescent="0.25">
      <c r="A97" s="29" t="s">
        <v>130</v>
      </c>
      <c r="B97" s="25">
        <v>210</v>
      </c>
      <c r="C97" s="25">
        <v>210</v>
      </c>
      <c r="D97" s="25">
        <v>210</v>
      </c>
      <c r="E97" s="25">
        <v>210</v>
      </c>
      <c r="F97" s="25">
        <v>210</v>
      </c>
      <c r="G97" s="25">
        <v>210</v>
      </c>
      <c r="H97" s="25">
        <v>210</v>
      </c>
      <c r="I97" s="25">
        <v>210</v>
      </c>
      <c r="J97" s="25">
        <v>210</v>
      </c>
      <c r="K97" s="25">
        <v>210</v>
      </c>
      <c r="L97" s="25">
        <v>210</v>
      </c>
      <c r="M97" s="25">
        <v>210</v>
      </c>
      <c r="N97" s="25">
        <f>+SUM(B97:M97)</f>
        <v>2520</v>
      </c>
      <c r="O97" s="25">
        <f>+IF(N97&lt;=0,"0",(AVERAGE(B97:M97)))</f>
        <v>210</v>
      </c>
      <c r="P97" s="26">
        <f>+O97/22</f>
        <v>9.545454545454545</v>
      </c>
    </row>
    <row r="98" spans="1:16" s="23" customFormat="1" hidden="1" x14ac:dyDescent="0.25">
      <c r="A98" s="29" t="s">
        <v>131</v>
      </c>
      <c r="B98" s="25">
        <v>130</v>
      </c>
      <c r="C98" s="25">
        <v>130</v>
      </c>
      <c r="D98" s="25">
        <v>130</v>
      </c>
      <c r="E98" s="25">
        <v>130</v>
      </c>
      <c r="F98" s="25">
        <v>130</v>
      </c>
      <c r="G98" s="25">
        <v>130</v>
      </c>
      <c r="H98" s="25">
        <v>130</v>
      </c>
      <c r="I98" s="25">
        <v>130</v>
      </c>
      <c r="J98" s="25">
        <v>130</v>
      </c>
      <c r="K98" s="25">
        <v>130</v>
      </c>
      <c r="L98" s="25">
        <v>130</v>
      </c>
      <c r="M98" s="25">
        <v>130</v>
      </c>
      <c r="N98" s="25">
        <f>+SUM(B98:M98)</f>
        <v>1560</v>
      </c>
      <c r="O98" s="25">
        <f>+IF(N98&lt;=0,"0",(AVERAGE(B98:M98)))</f>
        <v>130</v>
      </c>
      <c r="P98" s="26">
        <f>+O98/22</f>
        <v>5.9090909090909092</v>
      </c>
    </row>
    <row r="99" spans="1:16" s="23" customFormat="1" hidden="1" x14ac:dyDescent="0.25">
      <c r="A99" s="29" t="s">
        <v>132</v>
      </c>
      <c r="B99" s="25">
        <v>300</v>
      </c>
      <c r="C99" s="25">
        <v>300</v>
      </c>
      <c r="D99" s="25">
        <v>300</v>
      </c>
      <c r="E99" s="25">
        <v>300</v>
      </c>
      <c r="F99" s="25">
        <v>300</v>
      </c>
      <c r="G99" s="25">
        <v>300</v>
      </c>
      <c r="H99" s="25">
        <v>300</v>
      </c>
      <c r="I99" s="25">
        <v>300</v>
      </c>
      <c r="J99" s="25">
        <v>300</v>
      </c>
      <c r="K99" s="25">
        <v>300</v>
      </c>
      <c r="L99" s="25">
        <v>300</v>
      </c>
      <c r="M99" s="25">
        <v>300</v>
      </c>
      <c r="N99" s="25">
        <f>+SUM(B99:M99)</f>
        <v>3600</v>
      </c>
      <c r="O99" s="25">
        <f>+IF(N99&lt;=0,"0",(AVERAGE(B99:M99)))</f>
        <v>300</v>
      </c>
      <c r="P99" s="26">
        <f>+O99/22</f>
        <v>13.636363636363637</v>
      </c>
    </row>
    <row r="100" spans="1:16" s="23" customFormat="1" x14ac:dyDescent="0.25">
      <c r="A100" s="30" t="s">
        <v>4</v>
      </c>
      <c r="B100" s="27">
        <f>SUM(B95:B99)</f>
        <v>870</v>
      </c>
      <c r="C100" s="27">
        <f t="shared" ref="C100:P100" si="0">SUM(C95:C99)</f>
        <v>870</v>
      </c>
      <c r="D100" s="27">
        <f t="shared" si="0"/>
        <v>870</v>
      </c>
      <c r="E100" s="27">
        <f t="shared" si="0"/>
        <v>870</v>
      </c>
      <c r="F100" s="27">
        <f t="shared" si="0"/>
        <v>870</v>
      </c>
      <c r="G100" s="27">
        <f t="shared" si="0"/>
        <v>870</v>
      </c>
      <c r="H100" s="27">
        <f t="shared" si="0"/>
        <v>870</v>
      </c>
      <c r="I100" s="27">
        <f t="shared" si="0"/>
        <v>870</v>
      </c>
      <c r="J100" s="27">
        <f t="shared" si="0"/>
        <v>870</v>
      </c>
      <c r="K100" s="27">
        <f t="shared" si="0"/>
        <v>870</v>
      </c>
      <c r="L100" s="27">
        <f t="shared" si="0"/>
        <v>870</v>
      </c>
      <c r="M100" s="27">
        <f t="shared" si="0"/>
        <v>870</v>
      </c>
      <c r="N100" s="27">
        <f t="shared" si="0"/>
        <v>10440</v>
      </c>
      <c r="O100" s="27">
        <f t="shared" si="0"/>
        <v>870</v>
      </c>
      <c r="P100" s="27">
        <f t="shared" si="0"/>
        <v>39.545454545454547</v>
      </c>
    </row>
    <row r="101" spans="1:16" s="23" customFormat="1" x14ac:dyDescent="0.25"/>
    <row r="102" spans="1:16" s="23" customFormat="1" ht="21" x14ac:dyDescent="0.35">
      <c r="A102" s="351" t="s">
        <v>46</v>
      </c>
      <c r="B102" s="351"/>
      <c r="C102" s="351"/>
      <c r="D102" s="351"/>
      <c r="E102" s="351"/>
      <c r="F102" s="351"/>
      <c r="G102" s="351"/>
      <c r="H102" s="351"/>
      <c r="I102" s="351"/>
      <c r="J102" s="351"/>
      <c r="K102" s="351"/>
      <c r="L102" s="351"/>
      <c r="M102" s="351"/>
    </row>
    <row r="103" spans="1:16" s="23" customFormat="1" x14ac:dyDescent="0.25">
      <c r="A103" s="28" t="s">
        <v>21</v>
      </c>
      <c r="B103" s="24" t="s">
        <v>31</v>
      </c>
      <c r="C103" s="24" t="s">
        <v>32</v>
      </c>
      <c r="D103" s="24" t="s">
        <v>33</v>
      </c>
      <c r="E103" s="24" t="s">
        <v>34</v>
      </c>
      <c r="F103" s="24" t="s">
        <v>35</v>
      </c>
      <c r="G103" s="24" t="s">
        <v>36</v>
      </c>
      <c r="H103" s="24" t="s">
        <v>37</v>
      </c>
      <c r="I103" s="24" t="s">
        <v>38</v>
      </c>
      <c r="J103" s="24" t="s">
        <v>39</v>
      </c>
      <c r="K103" s="24" t="s">
        <v>40</v>
      </c>
      <c r="L103" s="24" t="s">
        <v>41</v>
      </c>
      <c r="M103" s="24" t="s">
        <v>42</v>
      </c>
      <c r="N103" s="24" t="s">
        <v>47</v>
      </c>
      <c r="O103" s="24" t="s">
        <v>44</v>
      </c>
      <c r="P103" s="24" t="s">
        <v>45</v>
      </c>
    </row>
    <row r="104" spans="1:16" s="23" customFormat="1" hidden="1" x14ac:dyDescent="0.25">
      <c r="A104" s="29" t="s">
        <v>128</v>
      </c>
      <c r="B104" s="25">
        <f>+B95*1.055</f>
        <v>126.6</v>
      </c>
      <c r="C104" s="25">
        <f t="shared" ref="C104:M104" si="1">+C95*1.055</f>
        <v>126.6</v>
      </c>
      <c r="D104" s="25">
        <f t="shared" si="1"/>
        <v>126.6</v>
      </c>
      <c r="E104" s="25">
        <f t="shared" si="1"/>
        <v>126.6</v>
      </c>
      <c r="F104" s="25">
        <f t="shared" si="1"/>
        <v>126.6</v>
      </c>
      <c r="G104" s="25">
        <f t="shared" si="1"/>
        <v>126.6</v>
      </c>
      <c r="H104" s="25">
        <f t="shared" si="1"/>
        <v>126.6</v>
      </c>
      <c r="I104" s="25">
        <f t="shared" si="1"/>
        <v>126.6</v>
      </c>
      <c r="J104" s="25">
        <f t="shared" si="1"/>
        <v>126.6</v>
      </c>
      <c r="K104" s="25">
        <f t="shared" si="1"/>
        <v>126.6</v>
      </c>
      <c r="L104" s="25">
        <f t="shared" si="1"/>
        <v>126.6</v>
      </c>
      <c r="M104" s="25">
        <f t="shared" si="1"/>
        <v>126.6</v>
      </c>
      <c r="N104" s="25">
        <f>+SUM(B104:M104)</f>
        <v>1519.1999999999998</v>
      </c>
      <c r="O104" s="25">
        <f>+IF(N104&lt;=0,"0",(AVERAGE(B104:M104)))</f>
        <v>126.59999999999998</v>
      </c>
      <c r="P104" s="26">
        <f>+O104/22</f>
        <v>5.754545454545454</v>
      </c>
    </row>
    <row r="105" spans="1:16" s="23" customFormat="1" hidden="1" x14ac:dyDescent="0.25">
      <c r="A105" s="29" t="s">
        <v>129</v>
      </c>
      <c r="B105" s="25">
        <f t="shared" ref="B105:M108" si="2">+B96*1.055</f>
        <v>116.05</v>
      </c>
      <c r="C105" s="25">
        <f t="shared" si="2"/>
        <v>116.05</v>
      </c>
      <c r="D105" s="25">
        <f t="shared" si="2"/>
        <v>116.05</v>
      </c>
      <c r="E105" s="25">
        <f t="shared" si="2"/>
        <v>116.05</v>
      </c>
      <c r="F105" s="25">
        <f t="shared" si="2"/>
        <v>116.05</v>
      </c>
      <c r="G105" s="25">
        <f t="shared" si="2"/>
        <v>116.05</v>
      </c>
      <c r="H105" s="25">
        <f t="shared" si="2"/>
        <v>116.05</v>
      </c>
      <c r="I105" s="25">
        <f t="shared" si="2"/>
        <v>116.05</v>
      </c>
      <c r="J105" s="25">
        <f t="shared" si="2"/>
        <v>116.05</v>
      </c>
      <c r="K105" s="25">
        <f t="shared" si="2"/>
        <v>116.05</v>
      </c>
      <c r="L105" s="25">
        <f t="shared" si="2"/>
        <v>116.05</v>
      </c>
      <c r="M105" s="25">
        <f t="shared" si="2"/>
        <v>116.05</v>
      </c>
      <c r="N105" s="25">
        <f>+SUM(B105:M105)</f>
        <v>1392.5999999999997</v>
      </c>
      <c r="O105" s="25">
        <f>+IF(N105&lt;=0,"0",(AVERAGE(B105:M105)))</f>
        <v>116.04999999999997</v>
      </c>
      <c r="P105" s="26">
        <f>+O105/22</f>
        <v>5.2749999999999986</v>
      </c>
    </row>
    <row r="106" spans="1:16" s="23" customFormat="1" hidden="1" x14ac:dyDescent="0.25">
      <c r="A106" s="29" t="s">
        <v>130</v>
      </c>
      <c r="B106" s="25">
        <f t="shared" si="2"/>
        <v>221.54999999999998</v>
      </c>
      <c r="C106" s="25">
        <f t="shared" si="2"/>
        <v>221.54999999999998</v>
      </c>
      <c r="D106" s="25">
        <f t="shared" si="2"/>
        <v>221.54999999999998</v>
      </c>
      <c r="E106" s="25">
        <f t="shared" si="2"/>
        <v>221.54999999999998</v>
      </c>
      <c r="F106" s="25">
        <f t="shared" si="2"/>
        <v>221.54999999999998</v>
      </c>
      <c r="G106" s="25">
        <f t="shared" si="2"/>
        <v>221.54999999999998</v>
      </c>
      <c r="H106" s="25">
        <f t="shared" si="2"/>
        <v>221.54999999999998</v>
      </c>
      <c r="I106" s="25">
        <f t="shared" si="2"/>
        <v>221.54999999999998</v>
      </c>
      <c r="J106" s="25">
        <f t="shared" si="2"/>
        <v>221.54999999999998</v>
      </c>
      <c r="K106" s="25">
        <f t="shared" si="2"/>
        <v>221.54999999999998</v>
      </c>
      <c r="L106" s="25">
        <f t="shared" si="2"/>
        <v>221.54999999999998</v>
      </c>
      <c r="M106" s="25">
        <f t="shared" si="2"/>
        <v>221.54999999999998</v>
      </c>
      <c r="N106" s="25">
        <f>+SUM(B106:M106)</f>
        <v>2658.6000000000004</v>
      </c>
      <c r="O106" s="25">
        <f>+IF(N106&lt;=0,"0",(AVERAGE(B106:M106)))</f>
        <v>221.55000000000004</v>
      </c>
      <c r="P106" s="26">
        <f>+O106/22</f>
        <v>10.070454545454547</v>
      </c>
    </row>
    <row r="107" spans="1:16" s="23" customFormat="1" hidden="1" x14ac:dyDescent="0.25">
      <c r="A107" s="29" t="s">
        <v>131</v>
      </c>
      <c r="B107" s="25">
        <f t="shared" si="2"/>
        <v>137.15</v>
      </c>
      <c r="C107" s="25">
        <f t="shared" si="2"/>
        <v>137.15</v>
      </c>
      <c r="D107" s="25">
        <f t="shared" si="2"/>
        <v>137.15</v>
      </c>
      <c r="E107" s="25">
        <f t="shared" si="2"/>
        <v>137.15</v>
      </c>
      <c r="F107" s="25">
        <f t="shared" si="2"/>
        <v>137.15</v>
      </c>
      <c r="G107" s="25">
        <f t="shared" si="2"/>
        <v>137.15</v>
      </c>
      <c r="H107" s="25">
        <f t="shared" si="2"/>
        <v>137.15</v>
      </c>
      <c r="I107" s="25">
        <f t="shared" si="2"/>
        <v>137.15</v>
      </c>
      <c r="J107" s="25">
        <f t="shared" si="2"/>
        <v>137.15</v>
      </c>
      <c r="K107" s="25">
        <f t="shared" si="2"/>
        <v>137.15</v>
      </c>
      <c r="L107" s="25">
        <f t="shared" si="2"/>
        <v>137.15</v>
      </c>
      <c r="M107" s="25">
        <f t="shared" si="2"/>
        <v>137.15</v>
      </c>
      <c r="N107" s="25">
        <f>+SUM(B107:M107)</f>
        <v>1645.8000000000004</v>
      </c>
      <c r="O107" s="25">
        <f>+IF(N107&lt;=0,"0",(AVERAGE(B107:M107)))</f>
        <v>137.15000000000003</v>
      </c>
      <c r="P107" s="26">
        <f>+O107/22</f>
        <v>6.2340909090909102</v>
      </c>
    </row>
    <row r="108" spans="1:16" s="23" customFormat="1" hidden="1" x14ac:dyDescent="0.25">
      <c r="A108" s="29" t="s">
        <v>132</v>
      </c>
      <c r="B108" s="25">
        <f t="shared" si="2"/>
        <v>316.5</v>
      </c>
      <c r="C108" s="25">
        <f t="shared" si="2"/>
        <v>316.5</v>
      </c>
      <c r="D108" s="25">
        <f t="shared" si="2"/>
        <v>316.5</v>
      </c>
      <c r="E108" s="25">
        <f t="shared" si="2"/>
        <v>316.5</v>
      </c>
      <c r="F108" s="25">
        <f t="shared" si="2"/>
        <v>316.5</v>
      </c>
      <c r="G108" s="25">
        <f t="shared" si="2"/>
        <v>316.5</v>
      </c>
      <c r="H108" s="25">
        <f t="shared" si="2"/>
        <v>316.5</v>
      </c>
      <c r="I108" s="25">
        <f t="shared" si="2"/>
        <v>316.5</v>
      </c>
      <c r="J108" s="25">
        <f t="shared" si="2"/>
        <v>316.5</v>
      </c>
      <c r="K108" s="25">
        <f t="shared" si="2"/>
        <v>316.5</v>
      </c>
      <c r="L108" s="25">
        <f t="shared" si="2"/>
        <v>316.5</v>
      </c>
      <c r="M108" s="25">
        <f t="shared" si="2"/>
        <v>316.5</v>
      </c>
      <c r="N108" s="25">
        <f>+SUM(B108:M108)</f>
        <v>3798</v>
      </c>
      <c r="O108" s="25">
        <f>+IF(N108&lt;=0,"0",(AVERAGE(B108:M108)))</f>
        <v>316.5</v>
      </c>
      <c r="P108" s="26">
        <f>+O108/22</f>
        <v>14.386363636363637</v>
      </c>
    </row>
    <row r="109" spans="1:16" s="23" customFormat="1" x14ac:dyDescent="0.25">
      <c r="A109" s="30" t="s">
        <v>4</v>
      </c>
      <c r="B109" s="27">
        <f>SUM(B104:B108)</f>
        <v>917.84999999999991</v>
      </c>
      <c r="C109" s="27">
        <f t="shared" ref="C109:P109" si="3">SUM(C104:C108)</f>
        <v>917.84999999999991</v>
      </c>
      <c r="D109" s="27">
        <f t="shared" si="3"/>
        <v>917.84999999999991</v>
      </c>
      <c r="E109" s="27">
        <f t="shared" si="3"/>
        <v>917.84999999999991</v>
      </c>
      <c r="F109" s="27">
        <f t="shared" si="3"/>
        <v>917.84999999999991</v>
      </c>
      <c r="G109" s="27">
        <f t="shared" si="3"/>
        <v>917.84999999999991</v>
      </c>
      <c r="H109" s="27">
        <f t="shared" si="3"/>
        <v>917.84999999999991</v>
      </c>
      <c r="I109" s="27">
        <f t="shared" si="3"/>
        <v>917.84999999999991</v>
      </c>
      <c r="J109" s="27">
        <f t="shared" si="3"/>
        <v>917.84999999999991</v>
      </c>
      <c r="K109" s="27">
        <f t="shared" si="3"/>
        <v>917.84999999999991</v>
      </c>
      <c r="L109" s="27">
        <f t="shared" si="3"/>
        <v>917.84999999999991</v>
      </c>
      <c r="M109" s="27">
        <f t="shared" si="3"/>
        <v>917.84999999999991</v>
      </c>
      <c r="N109" s="27">
        <f t="shared" si="3"/>
        <v>11014.2</v>
      </c>
      <c r="O109" s="27">
        <f t="shared" si="3"/>
        <v>917.85</v>
      </c>
      <c r="P109" s="27">
        <f t="shared" si="3"/>
        <v>41.720454545454544</v>
      </c>
    </row>
    <row r="110" spans="1:16" s="23" customFormat="1" x14ac:dyDescent="0.25"/>
    <row r="111" spans="1:16" s="23" customFormat="1" ht="21" x14ac:dyDescent="0.35">
      <c r="A111" s="351" t="s">
        <v>48</v>
      </c>
      <c r="B111" s="351"/>
      <c r="C111" s="351"/>
      <c r="D111" s="351"/>
      <c r="E111" s="351"/>
      <c r="F111" s="351"/>
      <c r="G111" s="351"/>
      <c r="H111" s="351"/>
      <c r="I111" s="351"/>
      <c r="J111" s="351"/>
      <c r="K111" s="351"/>
      <c r="L111" s="351"/>
      <c r="M111" s="351"/>
    </row>
    <row r="112" spans="1:16" s="23" customFormat="1" x14ac:dyDescent="0.25">
      <c r="A112" s="28" t="s">
        <v>21</v>
      </c>
      <c r="B112" s="24" t="s">
        <v>31</v>
      </c>
      <c r="C112" s="24" t="s">
        <v>32</v>
      </c>
      <c r="D112" s="24" t="s">
        <v>33</v>
      </c>
      <c r="E112" s="24" t="s">
        <v>34</v>
      </c>
      <c r="F112" s="24" t="s">
        <v>35</v>
      </c>
      <c r="G112" s="24" t="s">
        <v>36</v>
      </c>
      <c r="H112" s="24" t="s">
        <v>37</v>
      </c>
      <c r="I112" s="24" t="s">
        <v>38</v>
      </c>
      <c r="J112" s="24" t="s">
        <v>39</v>
      </c>
      <c r="K112" s="24" t="s">
        <v>40</v>
      </c>
      <c r="L112" s="24" t="s">
        <v>41</v>
      </c>
      <c r="M112" s="24" t="s">
        <v>42</v>
      </c>
      <c r="N112" s="24" t="s">
        <v>49</v>
      </c>
      <c r="O112" s="24" t="s">
        <v>44</v>
      </c>
      <c r="P112" s="24" t="s">
        <v>45</v>
      </c>
    </row>
    <row r="113" spans="1:16" s="23" customFormat="1" hidden="1" x14ac:dyDescent="0.25">
      <c r="A113" s="29" t="s">
        <v>128</v>
      </c>
      <c r="B113" s="25">
        <f>+B104*1.055</f>
        <v>133.56299999999999</v>
      </c>
      <c r="C113" s="25">
        <f t="shared" ref="C113:M113" si="4">+C104*1.055</f>
        <v>133.56299999999999</v>
      </c>
      <c r="D113" s="25">
        <f t="shared" si="4"/>
        <v>133.56299999999999</v>
      </c>
      <c r="E113" s="25">
        <f t="shared" si="4"/>
        <v>133.56299999999999</v>
      </c>
      <c r="F113" s="25">
        <f t="shared" si="4"/>
        <v>133.56299999999999</v>
      </c>
      <c r="G113" s="25">
        <f t="shared" si="4"/>
        <v>133.56299999999999</v>
      </c>
      <c r="H113" s="25">
        <f t="shared" si="4"/>
        <v>133.56299999999999</v>
      </c>
      <c r="I113" s="25">
        <f t="shared" si="4"/>
        <v>133.56299999999999</v>
      </c>
      <c r="J113" s="25">
        <f t="shared" si="4"/>
        <v>133.56299999999999</v>
      </c>
      <c r="K113" s="25">
        <f t="shared" si="4"/>
        <v>133.56299999999999</v>
      </c>
      <c r="L113" s="25">
        <f t="shared" si="4"/>
        <v>133.56299999999999</v>
      </c>
      <c r="M113" s="25">
        <f t="shared" si="4"/>
        <v>133.56299999999999</v>
      </c>
      <c r="N113" s="25">
        <f>+SUM(B113:M113)</f>
        <v>1602.7560000000003</v>
      </c>
      <c r="O113" s="25">
        <f>+IF(N113&lt;=0,"0",(AVERAGE(B113:M113)))</f>
        <v>133.56300000000002</v>
      </c>
      <c r="P113" s="26">
        <f>+O113/22</f>
        <v>6.0710454545454553</v>
      </c>
    </row>
    <row r="114" spans="1:16" s="23" customFormat="1" hidden="1" x14ac:dyDescent="0.25">
      <c r="A114" s="29" t="s">
        <v>129</v>
      </c>
      <c r="B114" s="25">
        <f t="shared" ref="B114:M117" si="5">+B105*1.055</f>
        <v>122.43274999999998</v>
      </c>
      <c r="C114" s="25">
        <f t="shared" si="5"/>
        <v>122.43274999999998</v>
      </c>
      <c r="D114" s="25">
        <f t="shared" si="5"/>
        <v>122.43274999999998</v>
      </c>
      <c r="E114" s="25">
        <f t="shared" si="5"/>
        <v>122.43274999999998</v>
      </c>
      <c r="F114" s="25">
        <f t="shared" si="5"/>
        <v>122.43274999999998</v>
      </c>
      <c r="G114" s="25">
        <f t="shared" si="5"/>
        <v>122.43274999999998</v>
      </c>
      <c r="H114" s="25">
        <f t="shared" si="5"/>
        <v>122.43274999999998</v>
      </c>
      <c r="I114" s="25">
        <f t="shared" si="5"/>
        <v>122.43274999999998</v>
      </c>
      <c r="J114" s="25">
        <f t="shared" si="5"/>
        <v>122.43274999999998</v>
      </c>
      <c r="K114" s="25">
        <f t="shared" si="5"/>
        <v>122.43274999999998</v>
      </c>
      <c r="L114" s="25">
        <f t="shared" si="5"/>
        <v>122.43274999999998</v>
      </c>
      <c r="M114" s="25">
        <f t="shared" si="5"/>
        <v>122.43274999999998</v>
      </c>
      <c r="N114" s="25">
        <f>+SUM(B114:M114)</f>
        <v>1469.1929999999995</v>
      </c>
      <c r="O114" s="25">
        <f>+IF(N114&lt;=0,"0",(AVERAGE(B114:M114)))</f>
        <v>122.43274999999996</v>
      </c>
      <c r="P114" s="26">
        <f>+O114/22</f>
        <v>5.5651249999999983</v>
      </c>
    </row>
    <row r="115" spans="1:16" s="23" customFormat="1" hidden="1" x14ac:dyDescent="0.25">
      <c r="A115" s="29" t="s">
        <v>130</v>
      </c>
      <c r="B115" s="25">
        <f t="shared" si="5"/>
        <v>233.73524999999998</v>
      </c>
      <c r="C115" s="25">
        <f t="shared" si="5"/>
        <v>233.73524999999998</v>
      </c>
      <c r="D115" s="25">
        <f t="shared" si="5"/>
        <v>233.73524999999998</v>
      </c>
      <c r="E115" s="25">
        <f t="shared" si="5"/>
        <v>233.73524999999998</v>
      </c>
      <c r="F115" s="25">
        <f t="shared" si="5"/>
        <v>233.73524999999998</v>
      </c>
      <c r="G115" s="25">
        <f t="shared" si="5"/>
        <v>233.73524999999998</v>
      </c>
      <c r="H115" s="25">
        <f t="shared" si="5"/>
        <v>233.73524999999998</v>
      </c>
      <c r="I115" s="25">
        <f t="shared" si="5"/>
        <v>233.73524999999998</v>
      </c>
      <c r="J115" s="25">
        <f t="shared" si="5"/>
        <v>233.73524999999998</v>
      </c>
      <c r="K115" s="25">
        <f t="shared" si="5"/>
        <v>233.73524999999998</v>
      </c>
      <c r="L115" s="25">
        <f t="shared" si="5"/>
        <v>233.73524999999998</v>
      </c>
      <c r="M115" s="25">
        <f t="shared" si="5"/>
        <v>233.73524999999998</v>
      </c>
      <c r="N115" s="25">
        <f>+SUM(B115:M115)</f>
        <v>2804.8230000000003</v>
      </c>
      <c r="O115" s="25">
        <f>+IF(N115&lt;=0,"0",(AVERAGE(B115:M115)))</f>
        <v>233.73525000000004</v>
      </c>
      <c r="P115" s="26">
        <f>+O115/22</f>
        <v>10.624329545454547</v>
      </c>
    </row>
    <row r="116" spans="1:16" s="23" customFormat="1" hidden="1" x14ac:dyDescent="0.25">
      <c r="A116" s="29" t="s">
        <v>131</v>
      </c>
      <c r="B116" s="25">
        <f t="shared" si="5"/>
        <v>144.69325000000001</v>
      </c>
      <c r="C116" s="25">
        <f t="shared" si="5"/>
        <v>144.69325000000001</v>
      </c>
      <c r="D116" s="25">
        <f t="shared" si="5"/>
        <v>144.69325000000001</v>
      </c>
      <c r="E116" s="25">
        <f t="shared" si="5"/>
        <v>144.69325000000001</v>
      </c>
      <c r="F116" s="25">
        <f t="shared" si="5"/>
        <v>144.69325000000001</v>
      </c>
      <c r="G116" s="25">
        <f t="shared" si="5"/>
        <v>144.69325000000001</v>
      </c>
      <c r="H116" s="25">
        <f t="shared" si="5"/>
        <v>144.69325000000001</v>
      </c>
      <c r="I116" s="25">
        <f t="shared" si="5"/>
        <v>144.69325000000001</v>
      </c>
      <c r="J116" s="25">
        <f t="shared" si="5"/>
        <v>144.69325000000001</v>
      </c>
      <c r="K116" s="25">
        <f t="shared" si="5"/>
        <v>144.69325000000001</v>
      </c>
      <c r="L116" s="25">
        <f t="shared" si="5"/>
        <v>144.69325000000001</v>
      </c>
      <c r="M116" s="25">
        <f t="shared" si="5"/>
        <v>144.69325000000001</v>
      </c>
      <c r="N116" s="25">
        <f>+SUM(B116:M116)</f>
        <v>1736.3190000000002</v>
      </c>
      <c r="O116" s="25">
        <f>+IF(N116&lt;=0,"0",(AVERAGE(B116:M116)))</f>
        <v>144.69325000000001</v>
      </c>
      <c r="P116" s="26">
        <f>+O116/22</f>
        <v>6.5769659090909096</v>
      </c>
    </row>
    <row r="117" spans="1:16" s="23" customFormat="1" hidden="1" x14ac:dyDescent="0.25">
      <c r="A117" s="29" t="s">
        <v>132</v>
      </c>
      <c r="B117" s="25">
        <f t="shared" si="5"/>
        <v>333.90749999999997</v>
      </c>
      <c r="C117" s="25">
        <f t="shared" si="5"/>
        <v>333.90749999999997</v>
      </c>
      <c r="D117" s="25">
        <f t="shared" si="5"/>
        <v>333.90749999999997</v>
      </c>
      <c r="E117" s="25">
        <f t="shared" si="5"/>
        <v>333.90749999999997</v>
      </c>
      <c r="F117" s="25">
        <f t="shared" si="5"/>
        <v>333.90749999999997</v>
      </c>
      <c r="G117" s="25">
        <f t="shared" si="5"/>
        <v>333.90749999999997</v>
      </c>
      <c r="H117" s="25">
        <f t="shared" si="5"/>
        <v>333.90749999999997</v>
      </c>
      <c r="I117" s="25">
        <f t="shared" si="5"/>
        <v>333.90749999999997</v>
      </c>
      <c r="J117" s="25">
        <f t="shared" si="5"/>
        <v>333.90749999999997</v>
      </c>
      <c r="K117" s="25">
        <f t="shared" si="5"/>
        <v>333.90749999999997</v>
      </c>
      <c r="L117" s="25">
        <f t="shared" si="5"/>
        <v>333.90749999999997</v>
      </c>
      <c r="M117" s="25">
        <f t="shared" si="5"/>
        <v>333.90749999999997</v>
      </c>
      <c r="N117" s="25">
        <f>+SUM(B117:M117)</f>
        <v>4006.889999999999</v>
      </c>
      <c r="O117" s="25">
        <f>+IF(N117&lt;=0,"0",(AVERAGE(B117:M117)))</f>
        <v>333.90749999999991</v>
      </c>
      <c r="P117" s="26">
        <f>+O117/22</f>
        <v>15.177613636363633</v>
      </c>
    </row>
    <row r="118" spans="1:16" s="23" customFormat="1" x14ac:dyDescent="0.25">
      <c r="A118" s="30" t="s">
        <v>4</v>
      </c>
      <c r="B118" s="27">
        <f>SUM(B113:B117)</f>
        <v>968.33175000000006</v>
      </c>
      <c r="C118" s="27">
        <f t="shared" ref="C118:P118" si="6">SUM(C113:C117)</f>
        <v>968.33175000000006</v>
      </c>
      <c r="D118" s="27">
        <f t="shared" si="6"/>
        <v>968.33175000000006</v>
      </c>
      <c r="E118" s="27">
        <f t="shared" si="6"/>
        <v>968.33175000000006</v>
      </c>
      <c r="F118" s="27">
        <f t="shared" si="6"/>
        <v>968.33175000000006</v>
      </c>
      <c r="G118" s="27">
        <f t="shared" si="6"/>
        <v>968.33175000000006</v>
      </c>
      <c r="H118" s="27">
        <f t="shared" si="6"/>
        <v>968.33175000000006</v>
      </c>
      <c r="I118" s="27">
        <f t="shared" si="6"/>
        <v>968.33175000000006</v>
      </c>
      <c r="J118" s="27">
        <f t="shared" si="6"/>
        <v>968.33175000000006</v>
      </c>
      <c r="K118" s="27">
        <f t="shared" si="6"/>
        <v>968.33175000000006</v>
      </c>
      <c r="L118" s="27">
        <f t="shared" si="6"/>
        <v>968.33175000000006</v>
      </c>
      <c r="M118" s="27">
        <f t="shared" si="6"/>
        <v>968.33175000000006</v>
      </c>
      <c r="N118" s="27">
        <f t="shared" si="6"/>
        <v>11619.981</v>
      </c>
      <c r="O118" s="27">
        <f t="shared" si="6"/>
        <v>968.33174999999994</v>
      </c>
      <c r="P118" s="27">
        <f t="shared" si="6"/>
        <v>44.01507954545454</v>
      </c>
    </row>
    <row r="119" spans="1:16" s="23" customFormat="1" x14ac:dyDescent="0.25"/>
    <row r="120" spans="1:16" s="23" customFormat="1" ht="21" x14ac:dyDescent="0.35">
      <c r="A120" s="351" t="s">
        <v>50</v>
      </c>
      <c r="B120" s="351"/>
      <c r="C120" s="351"/>
      <c r="D120" s="351"/>
      <c r="E120" s="351"/>
      <c r="F120" s="351"/>
      <c r="G120" s="351"/>
      <c r="H120" s="351"/>
      <c r="I120" s="351"/>
      <c r="J120" s="351"/>
      <c r="K120" s="351"/>
      <c r="L120" s="351"/>
      <c r="M120" s="351"/>
    </row>
    <row r="121" spans="1:16" s="23" customFormat="1" x14ac:dyDescent="0.25">
      <c r="A121" s="28" t="s">
        <v>21</v>
      </c>
      <c r="B121" s="24" t="s">
        <v>31</v>
      </c>
      <c r="C121" s="24" t="s">
        <v>32</v>
      </c>
      <c r="D121" s="24" t="s">
        <v>33</v>
      </c>
      <c r="E121" s="24" t="s">
        <v>34</v>
      </c>
      <c r="F121" s="24" t="s">
        <v>35</v>
      </c>
      <c r="G121" s="24" t="s">
        <v>36</v>
      </c>
      <c r="H121" s="24" t="s">
        <v>37</v>
      </c>
      <c r="I121" s="24" t="s">
        <v>38</v>
      </c>
      <c r="J121" s="24" t="s">
        <v>39</v>
      </c>
      <c r="K121" s="24" t="s">
        <v>40</v>
      </c>
      <c r="L121" s="24" t="s">
        <v>41</v>
      </c>
      <c r="M121" s="24" t="s">
        <v>42</v>
      </c>
      <c r="N121" s="24" t="s">
        <v>51</v>
      </c>
      <c r="O121" s="24" t="s">
        <v>44</v>
      </c>
      <c r="P121" s="24" t="s">
        <v>45</v>
      </c>
    </row>
    <row r="122" spans="1:16" s="23" customFormat="1" hidden="1" x14ac:dyDescent="0.25">
      <c r="A122" s="29" t="s">
        <v>128</v>
      </c>
      <c r="B122" s="25">
        <f>+B113*1.055</f>
        <v>140.90896499999997</v>
      </c>
      <c r="C122" s="25">
        <f t="shared" ref="C122:M122" si="7">+C113*1.055</f>
        <v>140.90896499999997</v>
      </c>
      <c r="D122" s="25">
        <f t="shared" si="7"/>
        <v>140.90896499999997</v>
      </c>
      <c r="E122" s="25">
        <f t="shared" si="7"/>
        <v>140.90896499999997</v>
      </c>
      <c r="F122" s="25">
        <f t="shared" si="7"/>
        <v>140.90896499999997</v>
      </c>
      <c r="G122" s="25">
        <f t="shared" si="7"/>
        <v>140.90896499999997</v>
      </c>
      <c r="H122" s="25">
        <f t="shared" si="7"/>
        <v>140.90896499999997</v>
      </c>
      <c r="I122" s="25">
        <f t="shared" si="7"/>
        <v>140.90896499999997</v>
      </c>
      <c r="J122" s="25">
        <f t="shared" si="7"/>
        <v>140.90896499999997</v>
      </c>
      <c r="K122" s="25">
        <f t="shared" si="7"/>
        <v>140.90896499999997</v>
      </c>
      <c r="L122" s="25">
        <f t="shared" si="7"/>
        <v>140.90896499999997</v>
      </c>
      <c r="M122" s="25">
        <f t="shared" si="7"/>
        <v>140.90896499999997</v>
      </c>
      <c r="N122" s="25">
        <f>+SUM(B122:M122)</f>
        <v>1690.9075800000001</v>
      </c>
      <c r="O122" s="25">
        <f>+IF(N122&lt;=0,"0",(AVERAGE(B122:M122)))</f>
        <v>140.90896499999999</v>
      </c>
      <c r="P122" s="26">
        <f>+O122/22</f>
        <v>6.404952954545454</v>
      </c>
    </row>
    <row r="123" spans="1:16" s="23" customFormat="1" hidden="1" x14ac:dyDescent="0.25">
      <c r="A123" s="29" t="s">
        <v>129</v>
      </c>
      <c r="B123" s="25">
        <f t="shared" ref="B123:M126" si="8">+B114*1.055</f>
        <v>129.16655124999997</v>
      </c>
      <c r="C123" s="25">
        <f t="shared" si="8"/>
        <v>129.16655124999997</v>
      </c>
      <c r="D123" s="25">
        <f t="shared" si="8"/>
        <v>129.16655124999997</v>
      </c>
      <c r="E123" s="25">
        <f t="shared" si="8"/>
        <v>129.16655124999997</v>
      </c>
      <c r="F123" s="25">
        <f t="shared" si="8"/>
        <v>129.16655124999997</v>
      </c>
      <c r="G123" s="25">
        <f t="shared" si="8"/>
        <v>129.16655124999997</v>
      </c>
      <c r="H123" s="25">
        <f t="shared" si="8"/>
        <v>129.16655124999997</v>
      </c>
      <c r="I123" s="25">
        <f t="shared" si="8"/>
        <v>129.16655124999997</v>
      </c>
      <c r="J123" s="25">
        <f t="shared" si="8"/>
        <v>129.16655124999997</v>
      </c>
      <c r="K123" s="25">
        <f t="shared" si="8"/>
        <v>129.16655124999997</v>
      </c>
      <c r="L123" s="25">
        <f t="shared" si="8"/>
        <v>129.16655124999997</v>
      </c>
      <c r="M123" s="25">
        <f t="shared" si="8"/>
        <v>129.16655124999997</v>
      </c>
      <c r="N123" s="25">
        <f>+SUM(B123:M123)</f>
        <v>1549.9986149999993</v>
      </c>
      <c r="O123" s="25">
        <f>+IF(N123&lt;=0,"0",(AVERAGE(B123:M123)))</f>
        <v>129.16655124999994</v>
      </c>
      <c r="P123" s="26">
        <f>+O123/22</f>
        <v>5.8712068749999977</v>
      </c>
    </row>
    <row r="124" spans="1:16" s="23" customFormat="1" hidden="1" x14ac:dyDescent="0.25">
      <c r="A124" s="29" t="s">
        <v>130</v>
      </c>
      <c r="B124" s="25">
        <f t="shared" si="8"/>
        <v>246.59068874999997</v>
      </c>
      <c r="C124" s="25">
        <f t="shared" si="8"/>
        <v>246.59068874999997</v>
      </c>
      <c r="D124" s="25">
        <f t="shared" si="8"/>
        <v>246.59068874999997</v>
      </c>
      <c r="E124" s="25">
        <f t="shared" si="8"/>
        <v>246.59068874999997</v>
      </c>
      <c r="F124" s="25">
        <f t="shared" si="8"/>
        <v>246.59068874999997</v>
      </c>
      <c r="G124" s="25">
        <f t="shared" si="8"/>
        <v>246.59068874999997</v>
      </c>
      <c r="H124" s="25">
        <f t="shared" si="8"/>
        <v>246.59068874999997</v>
      </c>
      <c r="I124" s="25">
        <f t="shared" si="8"/>
        <v>246.59068874999997</v>
      </c>
      <c r="J124" s="25">
        <f t="shared" si="8"/>
        <v>246.59068874999997</v>
      </c>
      <c r="K124" s="25">
        <f t="shared" si="8"/>
        <v>246.59068874999997</v>
      </c>
      <c r="L124" s="25">
        <f t="shared" si="8"/>
        <v>246.59068874999997</v>
      </c>
      <c r="M124" s="25">
        <f t="shared" si="8"/>
        <v>246.59068874999997</v>
      </c>
      <c r="N124" s="25">
        <f>+SUM(B124:M124)</f>
        <v>2959.0882649999999</v>
      </c>
      <c r="O124" s="25">
        <f>+IF(N124&lt;=0,"0",(AVERAGE(B124:M124)))</f>
        <v>246.59068875</v>
      </c>
      <c r="P124" s="26">
        <f>+O124/22</f>
        <v>11.208667670454545</v>
      </c>
    </row>
    <row r="125" spans="1:16" s="23" customFormat="1" hidden="1" x14ac:dyDescent="0.25">
      <c r="A125" s="29" t="s">
        <v>131</v>
      </c>
      <c r="B125" s="25">
        <f t="shared" si="8"/>
        <v>152.65137874999999</v>
      </c>
      <c r="C125" s="25">
        <f t="shared" si="8"/>
        <v>152.65137874999999</v>
      </c>
      <c r="D125" s="25">
        <f t="shared" si="8"/>
        <v>152.65137874999999</v>
      </c>
      <c r="E125" s="25">
        <f t="shared" si="8"/>
        <v>152.65137874999999</v>
      </c>
      <c r="F125" s="25">
        <f t="shared" si="8"/>
        <v>152.65137874999999</v>
      </c>
      <c r="G125" s="25">
        <f t="shared" si="8"/>
        <v>152.65137874999999</v>
      </c>
      <c r="H125" s="25">
        <f t="shared" si="8"/>
        <v>152.65137874999999</v>
      </c>
      <c r="I125" s="25">
        <f t="shared" si="8"/>
        <v>152.65137874999999</v>
      </c>
      <c r="J125" s="25">
        <f t="shared" si="8"/>
        <v>152.65137874999999</v>
      </c>
      <c r="K125" s="25">
        <f t="shared" si="8"/>
        <v>152.65137874999999</v>
      </c>
      <c r="L125" s="25">
        <f t="shared" si="8"/>
        <v>152.65137874999999</v>
      </c>
      <c r="M125" s="25">
        <f t="shared" si="8"/>
        <v>152.65137874999999</v>
      </c>
      <c r="N125" s="25">
        <f>+SUM(B125:M125)</f>
        <v>1831.8165450000004</v>
      </c>
      <c r="O125" s="25">
        <f>+IF(N125&lt;=0,"0",(AVERAGE(B125:M125)))</f>
        <v>152.65137875000002</v>
      </c>
      <c r="P125" s="26">
        <f>+O125/22</f>
        <v>6.9386990340909103</v>
      </c>
    </row>
    <row r="126" spans="1:16" s="23" customFormat="1" hidden="1" x14ac:dyDescent="0.25">
      <c r="A126" s="29" t="s">
        <v>132</v>
      </c>
      <c r="B126" s="25">
        <f t="shared" si="8"/>
        <v>352.27241249999997</v>
      </c>
      <c r="C126" s="25">
        <f t="shared" si="8"/>
        <v>352.27241249999997</v>
      </c>
      <c r="D126" s="25">
        <f t="shared" si="8"/>
        <v>352.27241249999997</v>
      </c>
      <c r="E126" s="25">
        <f t="shared" si="8"/>
        <v>352.27241249999997</v>
      </c>
      <c r="F126" s="25">
        <f t="shared" si="8"/>
        <v>352.27241249999997</v>
      </c>
      <c r="G126" s="25">
        <f t="shared" si="8"/>
        <v>352.27241249999997</v>
      </c>
      <c r="H126" s="25">
        <f t="shared" si="8"/>
        <v>352.27241249999997</v>
      </c>
      <c r="I126" s="25">
        <f t="shared" si="8"/>
        <v>352.27241249999997</v>
      </c>
      <c r="J126" s="25">
        <f t="shared" si="8"/>
        <v>352.27241249999997</v>
      </c>
      <c r="K126" s="25">
        <f t="shared" si="8"/>
        <v>352.27241249999997</v>
      </c>
      <c r="L126" s="25">
        <f t="shared" si="8"/>
        <v>352.27241249999997</v>
      </c>
      <c r="M126" s="25">
        <f t="shared" si="8"/>
        <v>352.27241249999997</v>
      </c>
      <c r="N126" s="25">
        <f>+SUM(B126:M126)</f>
        <v>4227.2689499999997</v>
      </c>
      <c r="O126" s="25">
        <f>+IF(N126&lt;=0,"0",(AVERAGE(B126:M126)))</f>
        <v>352.27241249999997</v>
      </c>
      <c r="P126" s="26">
        <f>+O126/22</f>
        <v>16.012382386363637</v>
      </c>
    </row>
    <row r="127" spans="1:16" s="23" customFormat="1" x14ac:dyDescent="0.25">
      <c r="A127" s="30" t="s">
        <v>4</v>
      </c>
      <c r="B127" s="27">
        <f>SUM(B122:B126)</f>
        <v>1021.58999625</v>
      </c>
      <c r="C127" s="27">
        <f t="shared" ref="C127:P127" si="9">SUM(C122:C126)</f>
        <v>1021.58999625</v>
      </c>
      <c r="D127" s="27">
        <f t="shared" si="9"/>
        <v>1021.58999625</v>
      </c>
      <c r="E127" s="27">
        <f t="shared" si="9"/>
        <v>1021.58999625</v>
      </c>
      <c r="F127" s="27">
        <f t="shared" si="9"/>
        <v>1021.58999625</v>
      </c>
      <c r="G127" s="27">
        <f t="shared" si="9"/>
        <v>1021.58999625</v>
      </c>
      <c r="H127" s="27">
        <f t="shared" si="9"/>
        <v>1021.58999625</v>
      </c>
      <c r="I127" s="27">
        <f t="shared" si="9"/>
        <v>1021.58999625</v>
      </c>
      <c r="J127" s="27">
        <f t="shared" si="9"/>
        <v>1021.58999625</v>
      </c>
      <c r="K127" s="27">
        <f t="shared" si="9"/>
        <v>1021.58999625</v>
      </c>
      <c r="L127" s="27">
        <f t="shared" si="9"/>
        <v>1021.58999625</v>
      </c>
      <c r="M127" s="27">
        <f t="shared" si="9"/>
        <v>1021.58999625</v>
      </c>
      <c r="N127" s="27">
        <f t="shared" si="9"/>
        <v>12259.079955000001</v>
      </c>
      <c r="O127" s="27">
        <f t="shared" si="9"/>
        <v>1021.58999625</v>
      </c>
      <c r="P127" s="27">
        <f t="shared" si="9"/>
        <v>46.435908920454544</v>
      </c>
    </row>
    <row r="128" spans="1:16" s="23" customFormat="1" x14ac:dyDescent="0.25"/>
    <row r="129" spans="1:16" s="23" customFormat="1" ht="21" x14ac:dyDescent="0.35">
      <c r="A129" s="351" t="s">
        <v>52</v>
      </c>
      <c r="B129" s="351"/>
      <c r="C129" s="351"/>
      <c r="D129" s="351"/>
      <c r="E129" s="351"/>
      <c r="F129" s="351"/>
      <c r="G129" s="351"/>
      <c r="H129" s="351"/>
      <c r="I129" s="351"/>
      <c r="J129" s="351"/>
      <c r="K129" s="351"/>
      <c r="L129" s="351"/>
      <c r="M129" s="351"/>
    </row>
    <row r="130" spans="1:16" s="23" customFormat="1" x14ac:dyDescent="0.25">
      <c r="A130" s="28" t="s">
        <v>21</v>
      </c>
      <c r="B130" s="24" t="s">
        <v>31</v>
      </c>
      <c r="C130" s="24" t="s">
        <v>32</v>
      </c>
      <c r="D130" s="24" t="s">
        <v>33</v>
      </c>
      <c r="E130" s="24" t="s">
        <v>34</v>
      </c>
      <c r="F130" s="24" t="s">
        <v>35</v>
      </c>
      <c r="G130" s="24" t="s">
        <v>36</v>
      </c>
      <c r="H130" s="24" t="s">
        <v>37</v>
      </c>
      <c r="I130" s="24" t="s">
        <v>38</v>
      </c>
      <c r="J130" s="24" t="s">
        <v>39</v>
      </c>
      <c r="K130" s="24" t="s">
        <v>40</v>
      </c>
      <c r="L130" s="24" t="s">
        <v>41</v>
      </c>
      <c r="M130" s="24" t="s">
        <v>42</v>
      </c>
      <c r="N130" s="24" t="s">
        <v>53</v>
      </c>
      <c r="O130" s="24" t="s">
        <v>44</v>
      </c>
      <c r="P130" s="24" t="s">
        <v>45</v>
      </c>
    </row>
    <row r="131" spans="1:16" s="23" customFormat="1" hidden="1" x14ac:dyDescent="0.25">
      <c r="A131" s="29" t="s">
        <v>128</v>
      </c>
      <c r="B131" s="25">
        <f>+B122*1.055</f>
        <v>148.65895807499996</v>
      </c>
      <c r="C131" s="25">
        <f t="shared" ref="C131:M131" si="10">+C122*1.055</f>
        <v>148.65895807499996</v>
      </c>
      <c r="D131" s="25">
        <f t="shared" si="10"/>
        <v>148.65895807499996</v>
      </c>
      <c r="E131" s="25">
        <f t="shared" si="10"/>
        <v>148.65895807499996</v>
      </c>
      <c r="F131" s="25">
        <f t="shared" si="10"/>
        <v>148.65895807499996</v>
      </c>
      <c r="G131" s="25">
        <f t="shared" si="10"/>
        <v>148.65895807499996</v>
      </c>
      <c r="H131" s="25">
        <f t="shared" si="10"/>
        <v>148.65895807499996</v>
      </c>
      <c r="I131" s="25">
        <f t="shared" si="10"/>
        <v>148.65895807499996</v>
      </c>
      <c r="J131" s="25">
        <f t="shared" si="10"/>
        <v>148.65895807499996</v>
      </c>
      <c r="K131" s="25">
        <f t="shared" si="10"/>
        <v>148.65895807499996</v>
      </c>
      <c r="L131" s="25">
        <f t="shared" si="10"/>
        <v>148.65895807499996</v>
      </c>
      <c r="M131" s="25">
        <f t="shared" si="10"/>
        <v>148.65895807499996</v>
      </c>
      <c r="N131" s="25">
        <f>+SUM(B131:M131)</f>
        <v>1783.9074968999992</v>
      </c>
      <c r="O131" s="25">
        <f>+IF(N131&lt;=0,"0",(AVERAGE(B131:M131)))</f>
        <v>148.65895807499993</v>
      </c>
      <c r="P131" s="26">
        <f>+O131/22</f>
        <v>6.757225367045451</v>
      </c>
    </row>
    <row r="132" spans="1:16" s="23" customFormat="1" hidden="1" x14ac:dyDescent="0.25">
      <c r="A132" s="29" t="s">
        <v>129</v>
      </c>
      <c r="B132" s="25">
        <f t="shared" ref="B132:M135" si="11">+B123*1.055</f>
        <v>136.27071156874996</v>
      </c>
      <c r="C132" s="25">
        <f t="shared" si="11"/>
        <v>136.27071156874996</v>
      </c>
      <c r="D132" s="25">
        <f t="shared" si="11"/>
        <v>136.27071156874996</v>
      </c>
      <c r="E132" s="25">
        <f t="shared" si="11"/>
        <v>136.27071156874996</v>
      </c>
      <c r="F132" s="25">
        <f t="shared" si="11"/>
        <v>136.27071156874996</v>
      </c>
      <c r="G132" s="25">
        <f t="shared" si="11"/>
        <v>136.27071156874996</v>
      </c>
      <c r="H132" s="25">
        <f t="shared" si="11"/>
        <v>136.27071156874996</v>
      </c>
      <c r="I132" s="25">
        <f t="shared" si="11"/>
        <v>136.27071156874996</v>
      </c>
      <c r="J132" s="25">
        <f t="shared" si="11"/>
        <v>136.27071156874996</v>
      </c>
      <c r="K132" s="25">
        <f t="shared" si="11"/>
        <v>136.27071156874996</v>
      </c>
      <c r="L132" s="25">
        <f t="shared" si="11"/>
        <v>136.27071156874996</v>
      </c>
      <c r="M132" s="25">
        <f t="shared" si="11"/>
        <v>136.27071156874996</v>
      </c>
      <c r="N132" s="25">
        <f>+SUM(B132:M132)</f>
        <v>1635.2485388249991</v>
      </c>
      <c r="O132" s="25">
        <f>+IF(N132&lt;=0,"0",(AVERAGE(B132:M132)))</f>
        <v>136.27071156874993</v>
      </c>
      <c r="P132" s="26">
        <f>+O132/22</f>
        <v>6.1941232531249968</v>
      </c>
    </row>
    <row r="133" spans="1:16" s="23" customFormat="1" hidden="1" x14ac:dyDescent="0.25">
      <c r="A133" s="29" t="s">
        <v>130</v>
      </c>
      <c r="B133" s="25">
        <f t="shared" si="11"/>
        <v>260.15317663124995</v>
      </c>
      <c r="C133" s="25">
        <f t="shared" si="11"/>
        <v>260.15317663124995</v>
      </c>
      <c r="D133" s="25">
        <f t="shared" si="11"/>
        <v>260.15317663124995</v>
      </c>
      <c r="E133" s="25">
        <f t="shared" si="11"/>
        <v>260.15317663124995</v>
      </c>
      <c r="F133" s="25">
        <f t="shared" si="11"/>
        <v>260.15317663124995</v>
      </c>
      <c r="G133" s="25">
        <f t="shared" si="11"/>
        <v>260.15317663124995</v>
      </c>
      <c r="H133" s="25">
        <f t="shared" si="11"/>
        <v>260.15317663124995</v>
      </c>
      <c r="I133" s="25">
        <f t="shared" si="11"/>
        <v>260.15317663124995</v>
      </c>
      <c r="J133" s="25">
        <f t="shared" si="11"/>
        <v>260.15317663124995</v>
      </c>
      <c r="K133" s="25">
        <f t="shared" si="11"/>
        <v>260.15317663124995</v>
      </c>
      <c r="L133" s="25">
        <f t="shared" si="11"/>
        <v>260.15317663124995</v>
      </c>
      <c r="M133" s="25">
        <f t="shared" si="11"/>
        <v>260.15317663124995</v>
      </c>
      <c r="N133" s="25">
        <f>+SUM(B133:M133)</f>
        <v>3121.8381195750003</v>
      </c>
      <c r="O133" s="25">
        <f>+IF(N133&lt;=0,"0",(AVERAGE(B133:M133)))</f>
        <v>260.15317663125001</v>
      </c>
      <c r="P133" s="26">
        <f>+O133/22</f>
        <v>11.825144392329547</v>
      </c>
    </row>
    <row r="134" spans="1:16" s="23" customFormat="1" hidden="1" x14ac:dyDescent="0.25">
      <c r="A134" s="29" t="s">
        <v>131</v>
      </c>
      <c r="B134" s="25">
        <f t="shared" si="11"/>
        <v>161.04720458124999</v>
      </c>
      <c r="C134" s="25">
        <f t="shared" si="11"/>
        <v>161.04720458124999</v>
      </c>
      <c r="D134" s="25">
        <f t="shared" si="11"/>
        <v>161.04720458124999</v>
      </c>
      <c r="E134" s="25">
        <f t="shared" si="11"/>
        <v>161.04720458124999</v>
      </c>
      <c r="F134" s="25">
        <f t="shared" si="11"/>
        <v>161.04720458124999</v>
      </c>
      <c r="G134" s="25">
        <f t="shared" si="11"/>
        <v>161.04720458124999</v>
      </c>
      <c r="H134" s="25">
        <f t="shared" si="11"/>
        <v>161.04720458124999</v>
      </c>
      <c r="I134" s="25">
        <f t="shared" si="11"/>
        <v>161.04720458124999</v>
      </c>
      <c r="J134" s="25">
        <f t="shared" si="11"/>
        <v>161.04720458124999</v>
      </c>
      <c r="K134" s="25">
        <f t="shared" si="11"/>
        <v>161.04720458124999</v>
      </c>
      <c r="L134" s="25">
        <f t="shared" si="11"/>
        <v>161.04720458124999</v>
      </c>
      <c r="M134" s="25">
        <f t="shared" si="11"/>
        <v>161.04720458124999</v>
      </c>
      <c r="N134" s="25">
        <f>+SUM(B134:M134)</f>
        <v>1932.5664549750002</v>
      </c>
      <c r="O134" s="25">
        <f>+IF(N134&lt;=0,"0",(AVERAGE(B134:M134)))</f>
        <v>161.04720458125001</v>
      </c>
      <c r="P134" s="26">
        <f>+O134/22</f>
        <v>7.3203274809659096</v>
      </c>
    </row>
    <row r="135" spans="1:16" s="23" customFormat="1" hidden="1" x14ac:dyDescent="0.25">
      <c r="A135" s="29" t="s">
        <v>132</v>
      </c>
      <c r="B135" s="25">
        <f t="shared" si="11"/>
        <v>371.64739518749997</v>
      </c>
      <c r="C135" s="25">
        <f t="shared" si="11"/>
        <v>371.64739518749997</v>
      </c>
      <c r="D135" s="25">
        <f t="shared" si="11"/>
        <v>371.64739518749997</v>
      </c>
      <c r="E135" s="25">
        <f t="shared" si="11"/>
        <v>371.64739518749997</v>
      </c>
      <c r="F135" s="25">
        <f t="shared" si="11"/>
        <v>371.64739518749997</v>
      </c>
      <c r="G135" s="25">
        <f t="shared" si="11"/>
        <v>371.64739518749997</v>
      </c>
      <c r="H135" s="25">
        <f t="shared" si="11"/>
        <v>371.64739518749997</v>
      </c>
      <c r="I135" s="25">
        <f t="shared" si="11"/>
        <v>371.64739518749997</v>
      </c>
      <c r="J135" s="25">
        <f t="shared" si="11"/>
        <v>371.64739518749997</v>
      </c>
      <c r="K135" s="25">
        <f t="shared" si="11"/>
        <v>371.64739518749997</v>
      </c>
      <c r="L135" s="25">
        <f t="shared" si="11"/>
        <v>371.64739518749997</v>
      </c>
      <c r="M135" s="25">
        <f t="shared" si="11"/>
        <v>371.64739518749997</v>
      </c>
      <c r="N135" s="25">
        <f>+SUM(B135:M135)</f>
        <v>4459.7687422499994</v>
      </c>
      <c r="O135" s="25">
        <f>+IF(N135&lt;=0,"0",(AVERAGE(B135:M135)))</f>
        <v>371.64739518749997</v>
      </c>
      <c r="P135" s="26">
        <f>+O135/22</f>
        <v>16.893063417613636</v>
      </c>
    </row>
    <row r="136" spans="1:16" s="23" customFormat="1" x14ac:dyDescent="0.25">
      <c r="A136" s="30" t="s">
        <v>4</v>
      </c>
      <c r="B136" s="27">
        <f>SUM(B131:B135)</f>
        <v>1077.7774460437497</v>
      </c>
      <c r="C136" s="27">
        <f t="shared" ref="C136:P136" si="12">SUM(C131:C135)</f>
        <v>1077.7774460437497</v>
      </c>
      <c r="D136" s="27">
        <f t="shared" si="12"/>
        <v>1077.7774460437497</v>
      </c>
      <c r="E136" s="27">
        <f t="shared" si="12"/>
        <v>1077.7774460437497</v>
      </c>
      <c r="F136" s="27">
        <f t="shared" si="12"/>
        <v>1077.7774460437497</v>
      </c>
      <c r="G136" s="27">
        <f t="shared" si="12"/>
        <v>1077.7774460437497</v>
      </c>
      <c r="H136" s="27">
        <f t="shared" si="12"/>
        <v>1077.7774460437497</v>
      </c>
      <c r="I136" s="27">
        <f t="shared" si="12"/>
        <v>1077.7774460437497</v>
      </c>
      <c r="J136" s="27">
        <f t="shared" si="12"/>
        <v>1077.7774460437497</v>
      </c>
      <c r="K136" s="27">
        <f t="shared" si="12"/>
        <v>1077.7774460437497</v>
      </c>
      <c r="L136" s="27">
        <f t="shared" si="12"/>
        <v>1077.7774460437497</v>
      </c>
      <c r="M136" s="27">
        <f t="shared" si="12"/>
        <v>1077.7774460437497</v>
      </c>
      <c r="N136" s="27">
        <f t="shared" si="12"/>
        <v>12933.329352524997</v>
      </c>
      <c r="O136" s="27">
        <f t="shared" si="12"/>
        <v>1077.7774460437499</v>
      </c>
      <c r="P136" s="27">
        <f t="shared" si="12"/>
        <v>48.989883911079545</v>
      </c>
    </row>
    <row r="137" spans="1:16" s="23" customFormat="1" x14ac:dyDescent="0.25"/>
    <row r="138" spans="1:16" s="23" customFormat="1" x14ac:dyDescent="0.25"/>
    <row r="139" spans="1:16" s="23" customFormat="1" x14ac:dyDescent="0.25"/>
  </sheetData>
  <sheetProtection algorithmName="SHA-512" hashValue="TN9kbE4OodibMNMS0LO1TUjqxAeBon/xbSErL8Wod2TLh82S8YfaMzT1eol06gjJZbqhFePzz8YiyvK6dOQkNg==" saltValue="Xj/TzPAWcUYxtSBg4odk0Q==" spinCount="100000" sheet="1" objects="1" scenarios="1"/>
  <mergeCells count="8">
    <mergeCell ref="A1:P1"/>
    <mergeCell ref="A129:M129"/>
    <mergeCell ref="A3:M3"/>
    <mergeCell ref="A92:H92"/>
    <mergeCell ref="A93:M93"/>
    <mergeCell ref="A102:M102"/>
    <mergeCell ref="A111:M111"/>
    <mergeCell ref="A120:M120"/>
  </mergeCells>
  <pageMargins left="0.7" right="0.7" top="0.75" bottom="0.75" header="0.3" footer="0.3"/>
  <pageSetup orientation="portrait"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DC5FD-ECA1-459E-A935-7526F1D46D07}">
  <sheetPr codeName="Hoja10">
    <tabColor theme="9" tint="0.39997558519241921"/>
  </sheetPr>
  <dimension ref="A1:P48"/>
  <sheetViews>
    <sheetView showGridLines="0" topLeftCell="C32" zoomScaleNormal="100" workbookViewId="0">
      <selection activeCell="N49" sqref="N49"/>
    </sheetView>
  </sheetViews>
  <sheetFormatPr baseColWidth="10" defaultColWidth="11.42578125" defaultRowHeight="15" x14ac:dyDescent="0.25"/>
  <cols>
    <col min="1" max="1" width="43.5703125" style="15" customWidth="1"/>
    <col min="2" max="15" width="15.5703125" style="15" customWidth="1"/>
    <col min="16" max="16" width="17.140625" style="15" customWidth="1"/>
    <col min="17" max="16384" width="11.42578125" style="15"/>
  </cols>
  <sheetData>
    <row r="1" spans="1:16" ht="39.75" customHeight="1" x14ac:dyDescent="0.25">
      <c r="A1" s="354" t="str">
        <f>+'Gráficos Ventas'!A1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54"/>
      <c r="C1" s="354"/>
      <c r="D1" s="354"/>
      <c r="E1" s="354"/>
      <c r="F1" s="354"/>
      <c r="G1" s="354"/>
      <c r="H1" s="354"/>
      <c r="I1" s="354"/>
      <c r="J1" s="354"/>
      <c r="K1" s="354"/>
      <c r="L1" s="354"/>
      <c r="M1" s="354"/>
      <c r="N1" s="354"/>
      <c r="O1" s="354"/>
      <c r="P1" s="354"/>
    </row>
    <row r="2" spans="1:16" ht="26.25" x14ac:dyDescent="0.25">
      <c r="A2" s="352" t="s">
        <v>463</v>
      </c>
      <c r="B2" s="352"/>
      <c r="C2" s="352"/>
      <c r="D2" s="352"/>
      <c r="E2" s="352"/>
      <c r="F2" s="352"/>
      <c r="G2" s="352"/>
      <c r="H2" s="352"/>
      <c r="I2" s="352"/>
      <c r="J2" s="352"/>
      <c r="K2" s="352"/>
      <c r="L2" s="352"/>
      <c r="M2" s="352"/>
    </row>
    <row r="4" spans="1:16" x14ac:dyDescent="0.25">
      <c r="A4" s="346" t="s">
        <v>29</v>
      </c>
      <c r="B4" s="346"/>
      <c r="C4" s="346"/>
      <c r="D4" s="346"/>
      <c r="E4" s="346"/>
      <c r="F4" s="346"/>
      <c r="G4" s="346"/>
      <c r="H4" s="346"/>
      <c r="I4" s="346"/>
      <c r="J4" s="346"/>
      <c r="K4" s="346"/>
      <c r="L4" s="346"/>
      <c r="M4" s="346"/>
      <c r="N4" s="346"/>
      <c r="O4" s="346"/>
      <c r="P4" s="346"/>
    </row>
    <row r="5" spans="1:16" ht="21" x14ac:dyDescent="0.35">
      <c r="A5" s="349" t="s">
        <v>30</v>
      </c>
      <c r="B5" s="349"/>
      <c r="C5" s="349"/>
      <c r="D5" s="349"/>
      <c r="E5" s="349"/>
      <c r="F5" s="349"/>
      <c r="G5" s="349"/>
      <c r="H5" s="349"/>
      <c r="I5" s="349"/>
      <c r="J5" s="349"/>
      <c r="K5" s="349"/>
      <c r="L5" s="349"/>
      <c r="M5" s="349"/>
    </row>
    <row r="6" spans="1:16" x14ac:dyDescent="0.25">
      <c r="A6" s="31" t="s">
        <v>21</v>
      </c>
      <c r="B6" s="16" t="s">
        <v>31</v>
      </c>
      <c r="C6" s="16" t="s">
        <v>32</v>
      </c>
      <c r="D6" s="16" t="s">
        <v>33</v>
      </c>
      <c r="E6" s="16" t="s">
        <v>34</v>
      </c>
      <c r="F6" s="16" t="s">
        <v>35</v>
      </c>
      <c r="G6" s="16" t="s">
        <v>36</v>
      </c>
      <c r="H6" s="16" t="s">
        <v>37</v>
      </c>
      <c r="I6" s="16" t="s">
        <v>38</v>
      </c>
      <c r="J6" s="16" t="s">
        <v>39</v>
      </c>
      <c r="K6" s="16" t="s">
        <v>40</v>
      </c>
      <c r="L6" s="16" t="s">
        <v>41</v>
      </c>
      <c r="M6" s="16" t="s">
        <v>42</v>
      </c>
      <c r="N6" s="16" t="s">
        <v>43</v>
      </c>
      <c r="O6" s="16" t="s">
        <v>54</v>
      </c>
      <c r="P6" s="16" t="s">
        <v>55</v>
      </c>
    </row>
    <row r="7" spans="1:16" x14ac:dyDescent="0.25">
      <c r="A7" s="38" t="str">
        <f>+'2. Mercado'!A5</f>
        <v>Servicio tecnico</v>
      </c>
      <c r="B7" s="39">
        <f>+'2. Mercado'!$B$5*'3. Proyección Ventas'!B7</f>
        <v>1200000</v>
      </c>
      <c r="C7" s="39">
        <f>+'2. Mercado'!$B$5*'3. Proyección Ventas'!C7</f>
        <v>1440000</v>
      </c>
      <c r="D7" s="39">
        <f>+'2. Mercado'!$B$5*'3. Proyección Ventas'!D7</f>
        <v>1840000</v>
      </c>
      <c r="E7" s="39">
        <f>+'2. Mercado'!$B$5*'3. Proyección Ventas'!E7</f>
        <v>1920000</v>
      </c>
      <c r="F7" s="39">
        <f>+'2. Mercado'!$B$5*'3. Proyección Ventas'!F7</f>
        <v>2240000</v>
      </c>
      <c r="G7" s="39">
        <f>+'2. Mercado'!$B$5*'3. Proyección Ventas'!G7</f>
        <v>3440000</v>
      </c>
      <c r="H7" s="39">
        <f>+'2. Mercado'!$B$5*'3. Proyección Ventas'!H7</f>
        <v>2480000</v>
      </c>
      <c r="I7" s="39">
        <f>+'2. Mercado'!$B$5*'3. Proyección Ventas'!I7</f>
        <v>1760000</v>
      </c>
      <c r="J7" s="39">
        <f>+'2. Mercado'!$B$5*'3. Proyección Ventas'!J7</f>
        <v>1840000</v>
      </c>
      <c r="K7" s="39">
        <f>+'2. Mercado'!$B$5*'3. Proyección Ventas'!K7</f>
        <v>1440000</v>
      </c>
      <c r="L7" s="39">
        <f>+'2. Mercado'!$B$5*'3. Proyección Ventas'!L7</f>
        <v>3680000</v>
      </c>
      <c r="M7" s="39">
        <f>+'2. Mercado'!$B$5*'3. Proyección Ventas'!M7</f>
        <v>4160000</v>
      </c>
      <c r="N7" s="21">
        <f>+SUM(B7:M7)</f>
        <v>27440000</v>
      </c>
      <c r="O7" s="21">
        <f>+AVERAGE(C7:M7)</f>
        <v>2385454.5454545454</v>
      </c>
      <c r="P7" s="21">
        <f t="shared" ref="P7:P12" si="0">+O7/22</f>
        <v>108429.7520661157</v>
      </c>
    </row>
    <row r="8" spans="1:16" x14ac:dyDescent="0.25">
      <c r="A8" s="38" t="str">
        <f>+'2. Mercado'!A6</f>
        <v>Disco SSD (500gb)</v>
      </c>
      <c r="B8" s="39">
        <f>+'2. Mercado'!$B$6*'3. Proyección Ventas'!B8</f>
        <v>5000000</v>
      </c>
      <c r="C8" s="39">
        <f>+'2. Mercado'!$B$6*'3. Proyección Ventas'!C8</f>
        <v>6000000</v>
      </c>
      <c r="D8" s="39">
        <f>+'2. Mercado'!$B$6*'3. Proyección Ventas'!D8</f>
        <v>8000000</v>
      </c>
      <c r="E8" s="39">
        <f>+'2. Mercado'!$B$6*'3. Proyección Ventas'!E8</f>
        <v>7000000</v>
      </c>
      <c r="F8" s="39">
        <f>+'2. Mercado'!$B$6*'3. Proyección Ventas'!F8</f>
        <v>7500000</v>
      </c>
      <c r="G8" s="39">
        <f>+'2. Mercado'!$B$6*'3. Proyección Ventas'!G8</f>
        <v>7000000</v>
      </c>
      <c r="H8" s="39">
        <f>+'2. Mercado'!$B$6*'3. Proyección Ventas'!H8</f>
        <v>9500000</v>
      </c>
      <c r="I8" s="39">
        <f>+'2. Mercado'!$B$6*'3. Proyección Ventas'!I8</f>
        <v>6500000</v>
      </c>
      <c r="J8" s="39">
        <f>+'2. Mercado'!$B$6*'3. Proyección Ventas'!J8</f>
        <v>7000000</v>
      </c>
      <c r="K8" s="39">
        <f>+'2. Mercado'!$B$6*'3. Proyección Ventas'!K8</f>
        <v>6500000</v>
      </c>
      <c r="L8" s="39">
        <f>+'2. Mercado'!$B$6*'3. Proyección Ventas'!L8</f>
        <v>14000000</v>
      </c>
      <c r="M8" s="39">
        <f>+'2. Mercado'!$B$6*'3. Proyección Ventas'!M8</f>
        <v>13000000</v>
      </c>
      <c r="N8" s="21">
        <f>+SUM(B8:M8)</f>
        <v>97000000</v>
      </c>
      <c r="O8" s="21">
        <f>+AVERAGE(C8:M8)</f>
        <v>8363636.3636363633</v>
      </c>
      <c r="P8" s="21">
        <f t="shared" si="0"/>
        <v>380165.28925619833</v>
      </c>
    </row>
    <row r="9" spans="1:16" x14ac:dyDescent="0.25">
      <c r="A9" s="38" t="str">
        <f>+'2. Mercado'!A7</f>
        <v>Memoria RAM (DDR5 2x16gb)</v>
      </c>
      <c r="B9" s="39">
        <f>+'2. Mercado'!$B$7*'3. Proyección Ventas'!B9</f>
        <v>5565000</v>
      </c>
      <c r="C9" s="39">
        <f>+'2. Mercado'!$B$7*'3. Proyección Ventas'!C9</f>
        <v>7155000</v>
      </c>
      <c r="D9" s="39">
        <f>+'2. Mercado'!$B$7*'3. Proyección Ventas'!D9</f>
        <v>9540000</v>
      </c>
      <c r="E9" s="39">
        <f>+'2. Mercado'!$B$7*'3. Proyección Ventas'!E9</f>
        <v>8745000</v>
      </c>
      <c r="F9" s="39">
        <f>+'2. Mercado'!$B$7*'3. Proyección Ventas'!F9</f>
        <v>8745000</v>
      </c>
      <c r="G9" s="39">
        <f>+'2. Mercado'!$B$7*'3. Proyección Ventas'!G9</f>
        <v>9540000</v>
      </c>
      <c r="H9" s="39">
        <f>+'2. Mercado'!$B$7*'3. Proyección Ventas'!H9</f>
        <v>11925000</v>
      </c>
      <c r="I9" s="39">
        <f>+'2. Mercado'!$B$7*'3. Proyección Ventas'!I9</f>
        <v>10335000</v>
      </c>
      <c r="J9" s="39">
        <f>+'2. Mercado'!$B$7*'3. Proyección Ventas'!J9</f>
        <v>11925000</v>
      </c>
      <c r="K9" s="39">
        <f>+'2. Mercado'!$B$7*'3. Proyección Ventas'!K9</f>
        <v>11130000</v>
      </c>
      <c r="L9" s="39">
        <f>+'2. Mercado'!$B$7*'3. Proyección Ventas'!L9</f>
        <v>19080000</v>
      </c>
      <c r="M9" s="39">
        <f>+'2. Mercado'!$B$7*'3. Proyección Ventas'!M9</f>
        <v>19080000</v>
      </c>
      <c r="N9" s="21">
        <f>+SUM(B9:M9)</f>
        <v>132765000</v>
      </c>
      <c r="O9" s="21">
        <f>+AVERAGE(C9:M9)</f>
        <v>11563636.363636363</v>
      </c>
      <c r="P9" s="21">
        <f t="shared" si="0"/>
        <v>525619.83471074374</v>
      </c>
    </row>
    <row r="10" spans="1:16" x14ac:dyDescent="0.25">
      <c r="A10" s="38" t="str">
        <f>+'2. Mercado'!A8</f>
        <v>Tarjeta grafica (4060)</v>
      </c>
      <c r="B10" s="39">
        <f>+'2. Mercado'!$B$8*'3. Proyección Ventas'!B10</f>
        <v>4700000</v>
      </c>
      <c r="C10" s="39">
        <f>+'2. Mercado'!$B$8*'3. Proyección Ventas'!C10</f>
        <v>9400000</v>
      </c>
      <c r="D10" s="39">
        <f>+'2. Mercado'!$B$8*'3. Proyección Ventas'!D10</f>
        <v>2350000</v>
      </c>
      <c r="E10" s="39">
        <f>+'2. Mercado'!$B$8*'3. Proyección Ventas'!E10</f>
        <v>4700000</v>
      </c>
      <c r="F10" s="39">
        <f>+'2. Mercado'!$B$8*'3. Proyección Ventas'!F10</f>
        <v>7050000</v>
      </c>
      <c r="G10" s="39">
        <f>+'2. Mercado'!$B$8*'3. Proyección Ventas'!G10</f>
        <v>9400000</v>
      </c>
      <c r="H10" s="39">
        <f>+'2. Mercado'!$B$8*'3. Proyección Ventas'!H10</f>
        <v>7050000</v>
      </c>
      <c r="I10" s="39">
        <f>+'2. Mercado'!$B$8*'3. Proyección Ventas'!I10</f>
        <v>7050000</v>
      </c>
      <c r="J10" s="39">
        <f>+'2. Mercado'!$B$8*'3. Proyección Ventas'!J10</f>
        <v>4700000</v>
      </c>
      <c r="K10" s="39">
        <f>+'2. Mercado'!$B$8*'3. Proyección Ventas'!K10</f>
        <v>7050000</v>
      </c>
      <c r="L10" s="39">
        <f>+'2. Mercado'!$B$8*'3. Proyección Ventas'!L10</f>
        <v>16450000</v>
      </c>
      <c r="M10" s="39">
        <f>+'2. Mercado'!$B$8*'3. Proyección Ventas'!M10</f>
        <v>25850000</v>
      </c>
      <c r="N10" s="21">
        <f>+SUM(B10:M10)</f>
        <v>105750000</v>
      </c>
      <c r="O10" s="21">
        <f>+AVERAGE(C10:M10)</f>
        <v>9186363.6363636367</v>
      </c>
      <c r="P10" s="21">
        <f t="shared" si="0"/>
        <v>417561.98347107437</v>
      </c>
    </row>
    <row r="11" spans="1:16" x14ac:dyDescent="0.25">
      <c r="A11" s="38" t="str">
        <f>+'2. Mercado'!A9</f>
        <v>Memoria USB (64gb)</v>
      </c>
      <c r="B11" s="39">
        <f>+'2. Mercado'!$B$9*'3. Proyección Ventas'!B11</f>
        <v>1200000</v>
      </c>
      <c r="C11" s="39">
        <f>+'2. Mercado'!$B$9*'3. Proyección Ventas'!C11</f>
        <v>1280000</v>
      </c>
      <c r="D11" s="39">
        <f>+'2. Mercado'!$B$9*'3. Proyección Ventas'!D11</f>
        <v>1520000</v>
      </c>
      <c r="E11" s="39">
        <f>+'2. Mercado'!$B$9*'3. Proyección Ventas'!E11</f>
        <v>1600000</v>
      </c>
      <c r="F11" s="39">
        <f>+'2. Mercado'!$B$9*'3. Proyección Ventas'!F11</f>
        <v>2320000</v>
      </c>
      <c r="G11" s="39">
        <f>+'2. Mercado'!$B$9*'3. Proyección Ventas'!G11</f>
        <v>2080000</v>
      </c>
      <c r="H11" s="39">
        <f>+'2. Mercado'!$B$9*'3. Proyección Ventas'!H11</f>
        <v>2800000</v>
      </c>
      <c r="I11" s="39">
        <f>+'2. Mercado'!$B$9*'3. Proyección Ventas'!I11</f>
        <v>1920000</v>
      </c>
      <c r="J11" s="39">
        <f>+'2. Mercado'!$B$9*'3. Proyección Ventas'!J11</f>
        <v>2560000</v>
      </c>
      <c r="K11" s="39">
        <f>+'2. Mercado'!$B$9*'3. Proyección Ventas'!K11</f>
        <v>3360000</v>
      </c>
      <c r="L11" s="39">
        <f>+'2. Mercado'!$B$9*'3. Proyección Ventas'!L11</f>
        <v>4720000</v>
      </c>
      <c r="M11" s="39">
        <f>+'2. Mercado'!$B$9*'3. Proyección Ventas'!M11</f>
        <v>4880000</v>
      </c>
      <c r="N11" s="21">
        <f>+SUM(B11:M11)</f>
        <v>30240000</v>
      </c>
      <c r="O11" s="21">
        <f>+AVERAGE(C11:M11)</f>
        <v>2640000</v>
      </c>
      <c r="P11" s="21">
        <f t="shared" si="0"/>
        <v>120000</v>
      </c>
    </row>
    <row r="12" spans="1:16" x14ac:dyDescent="0.25">
      <c r="A12" s="34" t="s">
        <v>4</v>
      </c>
      <c r="B12" s="40">
        <f>SUM(B7:B11)</f>
        <v>17665000</v>
      </c>
      <c r="C12" s="40">
        <f t="shared" ref="C12:O12" si="1">SUM(C7:C11)</f>
        <v>25275000</v>
      </c>
      <c r="D12" s="40">
        <f t="shared" si="1"/>
        <v>23250000</v>
      </c>
      <c r="E12" s="40">
        <f t="shared" si="1"/>
        <v>23965000</v>
      </c>
      <c r="F12" s="40">
        <f t="shared" si="1"/>
        <v>27855000</v>
      </c>
      <c r="G12" s="40">
        <f t="shared" si="1"/>
        <v>31460000</v>
      </c>
      <c r="H12" s="40">
        <f t="shared" si="1"/>
        <v>33755000</v>
      </c>
      <c r="I12" s="40">
        <f t="shared" si="1"/>
        <v>27565000</v>
      </c>
      <c r="J12" s="40">
        <f t="shared" si="1"/>
        <v>28025000</v>
      </c>
      <c r="K12" s="40">
        <f t="shared" si="1"/>
        <v>29480000</v>
      </c>
      <c r="L12" s="40">
        <f t="shared" si="1"/>
        <v>57930000</v>
      </c>
      <c r="M12" s="40">
        <f t="shared" si="1"/>
        <v>66970000</v>
      </c>
      <c r="N12" s="40">
        <f t="shared" si="1"/>
        <v>393195000</v>
      </c>
      <c r="O12" s="40">
        <f t="shared" si="1"/>
        <v>34139090.909090906</v>
      </c>
      <c r="P12" s="22">
        <f t="shared" si="0"/>
        <v>1551776.8595041321</v>
      </c>
    </row>
    <row r="14" spans="1:16" ht="21" x14ac:dyDescent="0.35">
      <c r="A14" s="349" t="s">
        <v>46</v>
      </c>
      <c r="B14" s="349"/>
      <c r="C14" s="349"/>
      <c r="D14" s="349"/>
      <c r="E14" s="349"/>
      <c r="F14" s="349"/>
      <c r="G14" s="349"/>
      <c r="H14" s="349"/>
      <c r="I14" s="349"/>
      <c r="J14" s="349"/>
      <c r="K14" s="349"/>
      <c r="L14" s="349"/>
      <c r="M14" s="349"/>
    </row>
    <row r="15" spans="1:16" x14ac:dyDescent="0.25">
      <c r="A15" s="31" t="s">
        <v>21</v>
      </c>
      <c r="B15" s="16" t="s">
        <v>31</v>
      </c>
      <c r="C15" s="16" t="s">
        <v>32</v>
      </c>
      <c r="D15" s="16" t="s">
        <v>33</v>
      </c>
      <c r="E15" s="16" t="s">
        <v>34</v>
      </c>
      <c r="F15" s="16" t="s">
        <v>35</v>
      </c>
      <c r="G15" s="16" t="s">
        <v>36</v>
      </c>
      <c r="H15" s="16" t="s">
        <v>37</v>
      </c>
      <c r="I15" s="16" t="s">
        <v>38</v>
      </c>
      <c r="J15" s="16" t="s">
        <v>39</v>
      </c>
      <c r="K15" s="16" t="s">
        <v>40</v>
      </c>
      <c r="L15" s="16" t="s">
        <v>41</v>
      </c>
      <c r="M15" s="16" t="s">
        <v>42</v>
      </c>
      <c r="N15" s="16" t="s">
        <v>47</v>
      </c>
      <c r="O15" s="16" t="s">
        <v>54</v>
      </c>
      <c r="P15" s="16" t="s">
        <v>55</v>
      </c>
    </row>
    <row r="16" spans="1:16" x14ac:dyDescent="0.25">
      <c r="A16" s="41" t="str">
        <f>+A7</f>
        <v>Servicio tecnico</v>
      </c>
      <c r="B16" s="39">
        <f>+DI!$F$3*'3. Proyección Ventas'!B16</f>
        <v>1350695.4</v>
      </c>
      <c r="C16" s="39">
        <f>+DI!$F$3*'3. Proyección Ventas'!C16</f>
        <v>1620834.48</v>
      </c>
      <c r="D16" s="39">
        <f>+DI!$F$3*'3. Proyección Ventas'!D16</f>
        <v>2071066.2799999998</v>
      </c>
      <c r="E16" s="39">
        <f>+DI!$F$3*'3. Proyección Ventas'!E16</f>
        <v>2161112.64</v>
      </c>
      <c r="F16" s="39">
        <f>+DI!$F$3*'3. Proyección Ventas'!F16</f>
        <v>2521298.08</v>
      </c>
      <c r="G16" s="39">
        <f>+DI!$F$3*'3. Proyección Ventas'!G16</f>
        <v>3871993.4799999995</v>
      </c>
      <c r="H16" s="39">
        <f>+DI!$F$3*'3. Proyección Ventas'!H16</f>
        <v>2791437.1599999997</v>
      </c>
      <c r="I16" s="39">
        <f>+DI!$F$3*'3. Proyección Ventas'!I16</f>
        <v>1981019.9199999997</v>
      </c>
      <c r="J16" s="39">
        <f>+DI!$F$3*'3. Proyección Ventas'!J16</f>
        <v>2071066.2799999998</v>
      </c>
      <c r="K16" s="39">
        <f>+DI!$F$3*'3. Proyección Ventas'!K16</f>
        <v>1620834.48</v>
      </c>
      <c r="L16" s="39">
        <f>+DI!$F$3*'3. Proyección Ventas'!L16</f>
        <v>4142132.5599999996</v>
      </c>
      <c r="M16" s="39">
        <f>+DI!$F$3*'3. Proyección Ventas'!M16</f>
        <v>4682410.72</v>
      </c>
      <c r="N16" s="21">
        <f>+SUM(B16:M16)</f>
        <v>30885901.479999997</v>
      </c>
      <c r="O16" s="21">
        <f>+AVERAGE(C16:M16)</f>
        <v>2685018.7345454544</v>
      </c>
      <c r="P16" s="21">
        <f t="shared" ref="P16:P21" si="2">+O16/22</f>
        <v>122046.30611570248</v>
      </c>
    </row>
    <row r="17" spans="1:16" x14ac:dyDescent="0.25">
      <c r="A17" s="41" t="str">
        <f>+A8</f>
        <v>Disco SSD (500gb)</v>
      </c>
      <c r="B17" s="39">
        <f>+DI!$F$4*'3. Proyección Ventas'!B17</f>
        <v>5627897.4999999991</v>
      </c>
      <c r="C17" s="39">
        <f>+DI!$F$4*'3. Proyección Ventas'!C17</f>
        <v>6753477</v>
      </c>
      <c r="D17" s="39">
        <f>+DI!$F$4*'3. Proyección Ventas'!D17</f>
        <v>9004636</v>
      </c>
      <c r="E17" s="39">
        <f>+DI!$F$4*'3. Proyección Ventas'!E17</f>
        <v>7879056.5</v>
      </c>
      <c r="F17" s="39">
        <f>+DI!$F$4*'3. Proyección Ventas'!F17</f>
        <v>8441846.25</v>
      </c>
      <c r="G17" s="39">
        <f>+DI!$F$4*'3. Proyección Ventas'!G17</f>
        <v>7879056.5</v>
      </c>
      <c r="H17" s="39">
        <f>+DI!$F$4*'3. Proyección Ventas'!H17</f>
        <v>10693005.249999998</v>
      </c>
      <c r="I17" s="39">
        <f>+DI!$F$4*'3. Proyección Ventas'!I17</f>
        <v>7316266.75</v>
      </c>
      <c r="J17" s="39">
        <f>+DI!$F$4*'3. Proyección Ventas'!J17</f>
        <v>7879056.5</v>
      </c>
      <c r="K17" s="39">
        <f>+DI!$F$4*'3. Proyección Ventas'!K17</f>
        <v>7316266.75</v>
      </c>
      <c r="L17" s="39">
        <f>+DI!$F$4*'3. Proyección Ventas'!L17</f>
        <v>15758113</v>
      </c>
      <c r="M17" s="39">
        <f>+DI!$F$4*'3. Proyección Ventas'!M17</f>
        <v>14632533.5</v>
      </c>
      <c r="N17" s="21">
        <f>+SUM(B17:M17)</f>
        <v>109181211.5</v>
      </c>
      <c r="O17" s="21">
        <f>+AVERAGE(C17:M17)</f>
        <v>9413937.6363636367</v>
      </c>
      <c r="P17" s="21">
        <f t="shared" si="2"/>
        <v>427906.25619834714</v>
      </c>
    </row>
    <row r="18" spans="1:16" x14ac:dyDescent="0.25">
      <c r="A18" s="41" t="str">
        <f>+A9</f>
        <v>Memoria RAM (DDR5 2x16gb)</v>
      </c>
      <c r="B18" s="39">
        <f>+DI!$F$5*'3. Proyección Ventas'!B18</f>
        <v>6263849.9174999995</v>
      </c>
      <c r="C18" s="39">
        <f>+DI!$F$5*'3. Proyección Ventas'!C18</f>
        <v>8053521.3224999998</v>
      </c>
      <c r="D18" s="39">
        <f>+DI!$F$5*'3. Proyección Ventas'!D18</f>
        <v>10738028.43</v>
      </c>
      <c r="E18" s="39">
        <f>+DI!$F$5*'3. Proyección Ventas'!E18</f>
        <v>9843192.7274999991</v>
      </c>
      <c r="F18" s="39">
        <f>+DI!$F$5*'3. Proyección Ventas'!F18</f>
        <v>9843192.7274999991</v>
      </c>
      <c r="G18" s="39">
        <f>+DI!$F$5*'3. Proyección Ventas'!G18</f>
        <v>10738028.43</v>
      </c>
      <c r="H18" s="39">
        <f>+DI!$F$5*'3. Proyección Ventas'!H18</f>
        <v>13422535.5375</v>
      </c>
      <c r="I18" s="39">
        <f>+DI!$F$5*'3. Proyección Ventas'!I18</f>
        <v>11632864.1325</v>
      </c>
      <c r="J18" s="39">
        <f>+DI!$F$5*'3. Proyección Ventas'!J18</f>
        <v>13422535.5375</v>
      </c>
      <c r="K18" s="39">
        <f>+DI!$F$5*'3. Proyección Ventas'!K18</f>
        <v>12527699.834999999</v>
      </c>
      <c r="L18" s="39">
        <f>+DI!$F$5*'3. Proyección Ventas'!L18</f>
        <v>21476056.859999999</v>
      </c>
      <c r="M18" s="39">
        <f>+DI!$F$5*'3. Proyección Ventas'!M18</f>
        <v>21476056.859999999</v>
      </c>
      <c r="N18" s="21">
        <f>+SUM(B18:M18)</f>
        <v>149437562.3175</v>
      </c>
      <c r="O18" s="21">
        <f>+AVERAGE(C18:M18)</f>
        <v>13015792.036363633</v>
      </c>
      <c r="P18" s="21">
        <f t="shared" si="2"/>
        <v>591626.91074380151</v>
      </c>
    </row>
    <row r="19" spans="1:16" x14ac:dyDescent="0.25">
      <c r="A19" s="41" t="str">
        <f>+A10</f>
        <v>Tarjeta grafica (4060)</v>
      </c>
      <c r="B19" s="39">
        <f>+DI!$F$6*'3. Proyección Ventas'!B19</f>
        <v>5290223.6499999994</v>
      </c>
      <c r="C19" s="39">
        <f>+DI!$F$6*'3. Proyección Ventas'!C19</f>
        <v>10580447.299999999</v>
      </c>
      <c r="D19" s="39">
        <f>+DI!$F$6*'3. Proyección Ventas'!D19</f>
        <v>2645111.8249999997</v>
      </c>
      <c r="E19" s="39">
        <f>+DI!$F$6*'3. Proyección Ventas'!E19</f>
        <v>5290223.6499999994</v>
      </c>
      <c r="F19" s="39">
        <f>+DI!$F$6*'3. Proyección Ventas'!F19</f>
        <v>7935335.4749999996</v>
      </c>
      <c r="G19" s="39">
        <f>+DI!$F$6*'3. Proyección Ventas'!G19</f>
        <v>10580447.299999999</v>
      </c>
      <c r="H19" s="39">
        <f>+DI!$F$6*'3. Proyección Ventas'!H19</f>
        <v>7935335.4749999996</v>
      </c>
      <c r="I19" s="39">
        <f>+DI!$F$6*'3. Proyección Ventas'!I19</f>
        <v>7935335.4749999996</v>
      </c>
      <c r="J19" s="39">
        <f>+DI!$F$6*'3. Proyección Ventas'!J19</f>
        <v>5290223.6499999994</v>
      </c>
      <c r="K19" s="39">
        <f>+DI!$F$6*'3. Proyección Ventas'!K19</f>
        <v>7935335.4749999996</v>
      </c>
      <c r="L19" s="39">
        <f>+DI!$F$6*'3. Proyección Ventas'!L19</f>
        <v>18515782.774999999</v>
      </c>
      <c r="M19" s="39">
        <f>+DI!$F$6*'3. Proyección Ventas'!M19</f>
        <v>29096230.074999996</v>
      </c>
      <c r="N19" s="21">
        <f>+SUM(B19:M19)</f>
        <v>119030032.12499997</v>
      </c>
      <c r="O19" s="21">
        <f>+AVERAGE(C19:M19)</f>
        <v>10339982.588636363</v>
      </c>
      <c r="P19" s="21">
        <f t="shared" si="2"/>
        <v>469999.20857438014</v>
      </c>
    </row>
    <row r="20" spans="1:16" x14ac:dyDescent="0.25">
      <c r="A20" s="41" t="str">
        <f>+A11</f>
        <v>Memoria USB (64gb)</v>
      </c>
      <c r="B20" s="39">
        <f>+DI!$F$7*'3. Proyección Ventas'!B20</f>
        <v>1350695.4</v>
      </c>
      <c r="C20" s="39">
        <f>+DI!$F$7*'3. Proyección Ventas'!C20</f>
        <v>1440741.76</v>
      </c>
      <c r="D20" s="39">
        <f>+DI!$F$7*'3. Proyección Ventas'!D20</f>
        <v>1710880.8399999999</v>
      </c>
      <c r="E20" s="39">
        <f>+DI!$F$7*'3. Proyección Ventas'!E20</f>
        <v>1800927.1999999997</v>
      </c>
      <c r="F20" s="39">
        <f>+DI!$F$7*'3. Proyección Ventas'!F20</f>
        <v>2611344.44</v>
      </c>
      <c r="G20" s="39">
        <f>+DI!$F$7*'3. Proyección Ventas'!G20</f>
        <v>2341205.36</v>
      </c>
      <c r="H20" s="39">
        <f>+DI!$F$7*'3. Proyección Ventas'!H20</f>
        <v>3151622.5999999996</v>
      </c>
      <c r="I20" s="39">
        <f>+DI!$F$7*'3. Proyección Ventas'!I20</f>
        <v>2161112.64</v>
      </c>
      <c r="J20" s="39">
        <f>+DI!$F$7*'3. Proyección Ventas'!J20</f>
        <v>2881483.52</v>
      </c>
      <c r="K20" s="39">
        <f>+DI!$F$7*'3. Proyección Ventas'!K20</f>
        <v>3781947.1199999996</v>
      </c>
      <c r="L20" s="39">
        <f>+DI!$F$7*'3. Proyección Ventas'!L20</f>
        <v>5312735.24</v>
      </c>
      <c r="M20" s="39">
        <f>+DI!$F$7*'3. Proyección Ventas'!M20</f>
        <v>5492827.959999999</v>
      </c>
      <c r="N20" s="21">
        <f>+SUM(B20:M20)</f>
        <v>34037524.079999998</v>
      </c>
      <c r="O20" s="21">
        <f>+AVERAGE(C20:M20)</f>
        <v>2971529.88</v>
      </c>
      <c r="P20" s="21">
        <f t="shared" si="2"/>
        <v>135069.54</v>
      </c>
    </row>
    <row r="21" spans="1:16" x14ac:dyDescent="0.25">
      <c r="A21" s="34" t="s">
        <v>4</v>
      </c>
      <c r="B21" s="40">
        <f>SUM(B16:B20)</f>
        <v>19883361.867499996</v>
      </c>
      <c r="C21" s="40">
        <f t="shared" ref="C21:O21" si="3">SUM(C16:C20)</f>
        <v>28449021.862500001</v>
      </c>
      <c r="D21" s="40">
        <f t="shared" si="3"/>
        <v>26169723.375</v>
      </c>
      <c r="E21" s="40">
        <f t="shared" si="3"/>
        <v>26974512.717499997</v>
      </c>
      <c r="F21" s="40">
        <f t="shared" si="3"/>
        <v>31353016.9725</v>
      </c>
      <c r="G21" s="40">
        <f t="shared" si="3"/>
        <v>35410731.07</v>
      </c>
      <c r="H21" s="40">
        <f t="shared" si="3"/>
        <v>37993936.022500001</v>
      </c>
      <c r="I21" s="40">
        <f t="shared" si="3"/>
        <v>31026598.917500004</v>
      </c>
      <c r="J21" s="40">
        <f t="shared" si="3"/>
        <v>31544365.487499997</v>
      </c>
      <c r="K21" s="40">
        <f t="shared" si="3"/>
        <v>33182083.66</v>
      </c>
      <c r="L21" s="40">
        <f t="shared" si="3"/>
        <v>65204820.435000002</v>
      </c>
      <c r="M21" s="40">
        <f t="shared" si="3"/>
        <v>75380059.114999995</v>
      </c>
      <c r="N21" s="40">
        <f>SUM(N16:N20)</f>
        <v>442572231.5025</v>
      </c>
      <c r="O21" s="40">
        <f t="shared" si="3"/>
        <v>38426260.87590909</v>
      </c>
      <c r="P21" s="22">
        <f t="shared" si="2"/>
        <v>1746648.2216322313</v>
      </c>
    </row>
    <row r="23" spans="1:16" ht="21" x14ac:dyDescent="0.35">
      <c r="A23" s="349" t="s">
        <v>48</v>
      </c>
      <c r="B23" s="349"/>
      <c r="C23" s="349"/>
      <c r="D23" s="349"/>
      <c r="E23" s="349"/>
      <c r="F23" s="349"/>
      <c r="G23" s="349"/>
      <c r="H23" s="349"/>
      <c r="I23" s="349"/>
      <c r="J23" s="349"/>
      <c r="K23" s="349"/>
      <c r="L23" s="349"/>
      <c r="M23" s="349"/>
    </row>
    <row r="24" spans="1:16" x14ac:dyDescent="0.25">
      <c r="A24" s="31" t="s">
        <v>21</v>
      </c>
      <c r="B24" s="16" t="s">
        <v>31</v>
      </c>
      <c r="C24" s="16" t="s">
        <v>32</v>
      </c>
      <c r="D24" s="16" t="s">
        <v>33</v>
      </c>
      <c r="E24" s="16" t="s">
        <v>34</v>
      </c>
      <c r="F24" s="16" t="s">
        <v>35</v>
      </c>
      <c r="G24" s="16" t="s">
        <v>36</v>
      </c>
      <c r="H24" s="16" t="s">
        <v>37</v>
      </c>
      <c r="I24" s="16" t="s">
        <v>38</v>
      </c>
      <c r="J24" s="16" t="s">
        <v>39</v>
      </c>
      <c r="K24" s="16" t="s">
        <v>40</v>
      </c>
      <c r="L24" s="16" t="s">
        <v>41</v>
      </c>
      <c r="M24" s="16" t="s">
        <v>42</v>
      </c>
      <c r="N24" s="16" t="s">
        <v>49</v>
      </c>
      <c r="O24" s="16" t="s">
        <v>54</v>
      </c>
      <c r="P24" s="16" t="s">
        <v>55</v>
      </c>
    </row>
    <row r="25" spans="1:16" x14ac:dyDescent="0.25">
      <c r="A25" s="41" t="str">
        <f>+A16</f>
        <v>Servicio tecnico</v>
      </c>
      <c r="B25" s="39">
        <f>+DI!$G$3*'3. Proyección Ventas'!B25</f>
        <v>1520315.0529842998</v>
      </c>
      <c r="C25" s="39">
        <f>+DI!$G$3*'3. Proyección Ventas'!C25</f>
        <v>1824378.0635811598</v>
      </c>
      <c r="D25" s="39">
        <f>+DI!$G$3*'3. Proyección Ventas'!D25</f>
        <v>2331149.7479092595</v>
      </c>
      <c r="E25" s="39">
        <f>+DI!$G$3*'3. Proyección Ventas'!E25</f>
        <v>2432504.0847748797</v>
      </c>
      <c r="F25" s="39">
        <f>+DI!$G$3*'3. Proyección Ventas'!F25</f>
        <v>2837921.4322373597</v>
      </c>
      <c r="G25" s="39">
        <f>+DI!$G$3*'3. Proyección Ventas'!G25</f>
        <v>4358236.4852216598</v>
      </c>
      <c r="H25" s="39">
        <f>+DI!$G$3*'3. Proyección Ventas'!H25</f>
        <v>3141984.4428342199</v>
      </c>
      <c r="I25" s="39">
        <f>+DI!$G$3*'3. Proyección Ventas'!I25</f>
        <v>2229795.4110436398</v>
      </c>
      <c r="J25" s="39">
        <f>+DI!$G$3*'3. Proyección Ventas'!J25</f>
        <v>2331149.7479092595</v>
      </c>
      <c r="K25" s="39">
        <f>+DI!$G$3*'3. Proyección Ventas'!K25</f>
        <v>1824378.0635811598</v>
      </c>
      <c r="L25" s="39">
        <f>+DI!$G$3*'3. Proyección Ventas'!L25</f>
        <v>4662299.495818519</v>
      </c>
      <c r="M25" s="39">
        <f>+DI!$G$3*'3. Proyección Ventas'!M25</f>
        <v>5270425.5170122404</v>
      </c>
      <c r="N25" s="39">
        <f>+SUM(B25:M25)</f>
        <v>34764537.544907659</v>
      </c>
      <c r="O25" s="39">
        <f>+AVERAGE(C25:M25)</f>
        <v>3022202.0447203051</v>
      </c>
      <c r="P25" s="21">
        <f t="shared" ref="P25:P30" si="4">+O25/22</f>
        <v>137372.82021455932</v>
      </c>
    </row>
    <row r="26" spans="1:16" x14ac:dyDescent="0.25">
      <c r="A26" s="41" t="str">
        <f>+A17</f>
        <v>Disco SSD (500gb)</v>
      </c>
      <c r="B26" s="39">
        <f>+DI!$G$4*'3. Proyección Ventas'!B26</f>
        <v>6334646.0541012501</v>
      </c>
      <c r="C26" s="39">
        <f>+DI!$G$4*'3. Proyección Ventas'!C26</f>
        <v>7601575.2649215003</v>
      </c>
      <c r="D26" s="39">
        <f>+DI!$G$4*'3. Proyección Ventas'!D26</f>
        <v>10135433.686562</v>
      </c>
      <c r="E26" s="39">
        <f>+DI!$G$4*'3. Proyección Ventas'!E26</f>
        <v>8868504.4757417496</v>
      </c>
      <c r="F26" s="39">
        <f>+DI!$G$4*'3. Proyección Ventas'!F26</f>
        <v>9501969.0811518747</v>
      </c>
      <c r="G26" s="39">
        <f>+DI!$G$4*'3. Proyección Ventas'!G26</f>
        <v>8868504.4757417496</v>
      </c>
      <c r="H26" s="39">
        <f>+DI!$G$4*'3. Proyección Ventas'!H26</f>
        <v>12035827.502792373</v>
      </c>
      <c r="I26" s="39">
        <f>+DI!$G$4*'3. Proyección Ventas'!I26</f>
        <v>8235039.8703316255</v>
      </c>
      <c r="J26" s="39">
        <f>+DI!$G$4*'3. Proyección Ventas'!J26</f>
        <v>8868504.4757417496</v>
      </c>
      <c r="K26" s="39">
        <f>+DI!$G$4*'3. Proyección Ventas'!K26</f>
        <v>8235039.8703316255</v>
      </c>
      <c r="L26" s="39">
        <f>+DI!$G$4*'3. Proyección Ventas'!L26</f>
        <v>17737008.951483499</v>
      </c>
      <c r="M26" s="39">
        <f>+DI!$G$4*'3. Proyección Ventas'!M26</f>
        <v>16470079.740663251</v>
      </c>
      <c r="N26" s="39">
        <f>+SUM(B26:M26)</f>
        <v>122892133.44956425</v>
      </c>
      <c r="O26" s="39">
        <f>+AVERAGE(C26:M26)</f>
        <v>10596135.217769362</v>
      </c>
      <c r="P26" s="21">
        <f t="shared" si="4"/>
        <v>481642.50989860739</v>
      </c>
    </row>
    <row r="27" spans="1:16" x14ac:dyDescent="0.25">
      <c r="A27" s="41" t="str">
        <f>+A18</f>
        <v>Memoria RAM (DDR5 2x16gb)</v>
      </c>
      <c r="B27" s="39">
        <f>+DI!$G$5*'3. Proyección Ventas'!B27</f>
        <v>7050461.0582146896</v>
      </c>
      <c r="C27" s="39">
        <f>+DI!$G$5*'3. Proyección Ventas'!C27</f>
        <v>9064878.503418887</v>
      </c>
      <c r="D27" s="39">
        <f>+DI!$G$5*'3. Proyección Ventas'!D27</f>
        <v>12086504.671225185</v>
      </c>
      <c r="E27" s="39">
        <f>+DI!$G$5*'3. Proyección Ventas'!E27</f>
        <v>11079295.948623084</v>
      </c>
      <c r="F27" s="39">
        <f>+DI!$G$5*'3. Proyección Ventas'!F27</f>
        <v>11079295.948623084</v>
      </c>
      <c r="G27" s="39">
        <f>+DI!$G$5*'3. Proyección Ventas'!G27</f>
        <v>12086504.671225185</v>
      </c>
      <c r="H27" s="39">
        <f>+DI!$G$5*'3. Proyección Ventas'!H27</f>
        <v>15108130.839031478</v>
      </c>
      <c r="I27" s="39">
        <f>+DI!$G$5*'3. Proyección Ventas'!I27</f>
        <v>13093713.393827282</v>
      </c>
      <c r="J27" s="39">
        <f>+DI!$G$5*'3. Proyección Ventas'!J27</f>
        <v>15108130.839031478</v>
      </c>
      <c r="K27" s="39">
        <f>+DI!$G$5*'3. Proyección Ventas'!K27</f>
        <v>14100922.116429379</v>
      </c>
      <c r="L27" s="39">
        <f>+DI!$G$5*'3. Proyección Ventas'!L27</f>
        <v>24173009.342450369</v>
      </c>
      <c r="M27" s="39">
        <f>+DI!$G$5*'3. Proyección Ventas'!M27</f>
        <v>24173009.342450369</v>
      </c>
      <c r="N27" s="39">
        <f>+SUM(B27:M27)</f>
        <v>168203856.67455047</v>
      </c>
      <c r="O27" s="39">
        <f>+AVERAGE(C27:M27)</f>
        <v>14650308.692394162</v>
      </c>
      <c r="P27" s="21">
        <f t="shared" si="4"/>
        <v>665923.12238155282</v>
      </c>
    </row>
    <row r="28" spans="1:16" x14ac:dyDescent="0.25">
      <c r="A28" s="41" t="str">
        <f>+A19</f>
        <v>Tarjeta grafica (4060)</v>
      </c>
      <c r="B28" s="39">
        <f>+DI!$G$6*'3. Proyección Ventas'!B28</f>
        <v>5954567.290855174</v>
      </c>
      <c r="C28" s="39">
        <f>+DI!$G$6*'3. Proyección Ventas'!C28</f>
        <v>11909134.581710348</v>
      </c>
      <c r="D28" s="39">
        <f>+DI!$G$6*'3. Proyección Ventas'!D28</f>
        <v>2977283.645427587</v>
      </c>
      <c r="E28" s="39">
        <f>+DI!$G$6*'3. Proyección Ventas'!E28</f>
        <v>5954567.290855174</v>
      </c>
      <c r="F28" s="39">
        <f>+DI!$G$6*'3. Proyección Ventas'!F28</f>
        <v>8931850.9362827614</v>
      </c>
      <c r="G28" s="39">
        <f>+DI!$G$6*'3. Proyección Ventas'!G28</f>
        <v>11909134.581710348</v>
      </c>
      <c r="H28" s="39">
        <f>+DI!$G$6*'3. Proyección Ventas'!H28</f>
        <v>8931850.9362827614</v>
      </c>
      <c r="I28" s="39">
        <f>+DI!$G$6*'3. Proyección Ventas'!I28</f>
        <v>8931850.9362827614</v>
      </c>
      <c r="J28" s="39">
        <f>+DI!$G$6*'3. Proyección Ventas'!J28</f>
        <v>5954567.290855174</v>
      </c>
      <c r="K28" s="39">
        <f>+DI!$G$6*'3. Proyección Ventas'!K28</f>
        <v>8931850.9362827614</v>
      </c>
      <c r="L28" s="39">
        <f>+DI!$G$6*'3. Proyección Ventas'!L28</f>
        <v>20840985.517993107</v>
      </c>
      <c r="M28" s="39">
        <f>+DI!$G$6*'3. Proyección Ventas'!M28</f>
        <v>32750120.099703453</v>
      </c>
      <c r="N28" s="39">
        <f>+SUM(B28:M28)</f>
        <v>133977764.0442414</v>
      </c>
      <c r="O28" s="39">
        <f>+AVERAGE(C28:M28)</f>
        <v>11638472.432126021</v>
      </c>
      <c r="P28" s="21">
        <f t="shared" si="4"/>
        <v>529021.47418754641</v>
      </c>
    </row>
    <row r="29" spans="1:16" x14ac:dyDescent="0.25">
      <c r="A29" s="41" t="str">
        <f>+A20</f>
        <v>Memoria USB (64gb)</v>
      </c>
      <c r="B29" s="39">
        <f>+DI!$G$7*'3. Proyección Ventas'!B29</f>
        <v>1520315.0529842998</v>
      </c>
      <c r="C29" s="39">
        <f>+DI!$G$7*'3. Proyección Ventas'!C29</f>
        <v>1621669.3898499201</v>
      </c>
      <c r="D29" s="39">
        <f>+DI!$G$7*'3. Proyección Ventas'!D29</f>
        <v>1925732.4004467798</v>
      </c>
      <c r="E29" s="39">
        <f>+DI!$G$7*'3. Proyección Ventas'!E29</f>
        <v>2027086.7373123998</v>
      </c>
      <c r="F29" s="39">
        <f>+DI!$G$7*'3. Proyección Ventas'!F29</f>
        <v>2939275.7691029799</v>
      </c>
      <c r="G29" s="39">
        <f>+DI!$G$7*'3. Proyección Ventas'!G29</f>
        <v>2635212.7585061202</v>
      </c>
      <c r="H29" s="39">
        <f>+DI!$G$7*'3. Proyección Ventas'!H29</f>
        <v>3547401.7902966994</v>
      </c>
      <c r="I29" s="39">
        <f>+DI!$G$7*'3. Proyección Ventas'!I29</f>
        <v>2432504.0847748797</v>
      </c>
      <c r="J29" s="39">
        <f>+DI!$G$7*'3. Proyección Ventas'!J29</f>
        <v>3243338.7796998401</v>
      </c>
      <c r="K29" s="39">
        <f>+DI!$G$7*'3. Proyección Ventas'!K29</f>
        <v>4256882.14835604</v>
      </c>
      <c r="L29" s="39">
        <f>+DI!$G$7*'3. Proyección Ventas'!L29</f>
        <v>5979905.8750715787</v>
      </c>
      <c r="M29" s="39">
        <f>+DI!$G$7*'3. Proyección Ventas'!M29</f>
        <v>6182614.5488028191</v>
      </c>
      <c r="N29" s="39">
        <f>+SUM(B29:M29)</f>
        <v>38311939.335204355</v>
      </c>
      <c r="O29" s="39">
        <f>+AVERAGE(C29:M29)</f>
        <v>3344693.1165654599</v>
      </c>
      <c r="P29" s="21">
        <f t="shared" si="4"/>
        <v>152031.50529842998</v>
      </c>
    </row>
    <row r="30" spans="1:16" x14ac:dyDescent="0.25">
      <c r="A30" s="34" t="s">
        <v>4</v>
      </c>
      <c r="B30" s="40">
        <f>SUM(B25:B29)</f>
        <v>22380304.509139713</v>
      </c>
      <c r="C30" s="40">
        <f t="shared" ref="C30:O30" si="5">SUM(C25:C29)</f>
        <v>32021635.803481814</v>
      </c>
      <c r="D30" s="40">
        <f t="shared" si="5"/>
        <v>29456104.151570812</v>
      </c>
      <c r="E30" s="40">
        <f t="shared" si="5"/>
        <v>30361958.537307285</v>
      </c>
      <c r="F30" s="40">
        <f t="shared" si="5"/>
        <v>35290313.167398058</v>
      </c>
      <c r="G30" s="40">
        <f t="shared" si="5"/>
        <v>39857592.972405061</v>
      </c>
      <c r="H30" s="40">
        <f t="shared" si="5"/>
        <v>42765195.511237532</v>
      </c>
      <c r="I30" s="40">
        <f t="shared" si="5"/>
        <v>34922903.696260192</v>
      </c>
      <c r="J30" s="40">
        <f t="shared" si="5"/>
        <v>35505691.133237503</v>
      </c>
      <c r="K30" s="40">
        <f t="shared" si="5"/>
        <v>37349073.134980969</v>
      </c>
      <c r="L30" s="40">
        <f t="shared" si="5"/>
        <v>73393209.182817072</v>
      </c>
      <c r="M30" s="40">
        <f t="shared" si="5"/>
        <v>84846249.248632133</v>
      </c>
      <c r="N30" s="40">
        <f t="shared" si="5"/>
        <v>498150231.04846811</v>
      </c>
      <c r="O30" s="40">
        <f t="shared" si="5"/>
        <v>43251811.50357531</v>
      </c>
      <c r="P30" s="22">
        <f t="shared" si="4"/>
        <v>1965991.4319806958</v>
      </c>
    </row>
    <row r="32" spans="1:16" ht="21" x14ac:dyDescent="0.35">
      <c r="A32" s="349" t="s">
        <v>50</v>
      </c>
      <c r="B32" s="349"/>
      <c r="C32" s="349"/>
      <c r="D32" s="349"/>
      <c r="E32" s="349"/>
      <c r="F32" s="349"/>
      <c r="G32" s="349"/>
      <c r="H32" s="349"/>
      <c r="I32" s="349"/>
      <c r="J32" s="349"/>
      <c r="K32" s="349"/>
      <c r="L32" s="349"/>
      <c r="M32" s="349"/>
    </row>
    <row r="33" spans="1:16" x14ac:dyDescent="0.25">
      <c r="A33" s="31" t="s">
        <v>21</v>
      </c>
      <c r="B33" s="16" t="s">
        <v>31</v>
      </c>
      <c r="C33" s="16" t="s">
        <v>32</v>
      </c>
      <c r="D33" s="16" t="s">
        <v>33</v>
      </c>
      <c r="E33" s="16" t="s">
        <v>34</v>
      </c>
      <c r="F33" s="16" t="s">
        <v>35</v>
      </c>
      <c r="G33" s="16" t="s">
        <v>36</v>
      </c>
      <c r="H33" s="16" t="s">
        <v>37</v>
      </c>
      <c r="I33" s="16" t="s">
        <v>38</v>
      </c>
      <c r="J33" s="16" t="s">
        <v>39</v>
      </c>
      <c r="K33" s="16" t="s">
        <v>40</v>
      </c>
      <c r="L33" s="16" t="s">
        <v>41</v>
      </c>
      <c r="M33" s="16" t="s">
        <v>42</v>
      </c>
      <c r="N33" s="16" t="s">
        <v>51</v>
      </c>
      <c r="O33" s="16" t="s">
        <v>54</v>
      </c>
      <c r="P33" s="16" t="s">
        <v>55</v>
      </c>
    </row>
    <row r="34" spans="1:16" x14ac:dyDescent="0.25">
      <c r="A34" s="42" t="str">
        <f>+A25</f>
        <v>Servicio tecnico</v>
      </c>
      <c r="B34" s="39">
        <f>+DI!$H$3*'3. Proyección Ventas'!B34</f>
        <v>1711235.4571805415</v>
      </c>
      <c r="C34" s="39">
        <f>+DI!$H$3*'3. Proyección Ventas'!C34</f>
        <v>2053482.5486166498</v>
      </c>
      <c r="D34" s="39">
        <f>+DI!$H$3*'3. Proyección Ventas'!D34</f>
        <v>2623894.3676768304</v>
      </c>
      <c r="E34" s="39">
        <f>+DI!$H$3*'3. Proyección Ventas'!E34</f>
        <v>2737976.7314888667</v>
      </c>
      <c r="F34" s="39">
        <f>+DI!$H$3*'3. Proyección Ventas'!F34</f>
        <v>3194306.1867370112</v>
      </c>
      <c r="G34" s="39">
        <f>+DI!$H$3*'3. Proyección Ventas'!G34</f>
        <v>4905541.6439175531</v>
      </c>
      <c r="H34" s="39">
        <f>+DI!$H$3*'3. Proyección Ventas'!H34</f>
        <v>3536553.2781731193</v>
      </c>
      <c r="I34" s="39">
        <f>+DI!$H$3*'3. Proyección Ventas'!I34</f>
        <v>2509812.003864794</v>
      </c>
      <c r="J34" s="39">
        <f>+DI!$H$3*'3. Proyección Ventas'!J34</f>
        <v>2623894.3676768304</v>
      </c>
      <c r="K34" s="39">
        <f>+DI!$H$3*'3. Proyección Ventas'!K34</f>
        <v>2053482.5486166498</v>
      </c>
      <c r="L34" s="39">
        <f>+DI!$H$3*'3. Proyección Ventas'!L34</f>
        <v>5247788.7353536608</v>
      </c>
      <c r="M34" s="39">
        <f>+DI!$H$3*'3. Proyección Ventas'!M34</f>
        <v>5932282.9182258779</v>
      </c>
      <c r="N34" s="39">
        <f>+SUM(B34:M34)</f>
        <v>39130250.787528388</v>
      </c>
      <c r="O34" s="39">
        <f>+AVERAGE(C34:M34)</f>
        <v>3401728.6663952591</v>
      </c>
      <c r="P34" s="21">
        <f t="shared" ref="P34:P39" si="6">+O34/22</f>
        <v>154624.0302906936</v>
      </c>
    </row>
    <row r="35" spans="1:16" x14ac:dyDescent="0.25">
      <c r="A35" s="42" t="str">
        <f>+A26</f>
        <v>Disco SSD (500gb)</v>
      </c>
      <c r="B35" s="39">
        <f>+DI!$H$4*'3. Proyección Ventas'!B35</f>
        <v>7130147.738252257</v>
      </c>
      <c r="C35" s="39">
        <f>+DI!$H$4*'3. Proyección Ventas'!C35</f>
        <v>8556177.2859027088</v>
      </c>
      <c r="D35" s="39">
        <f>+DI!$H$4*'3. Proyección Ventas'!D35</f>
        <v>11408236.381203612</v>
      </c>
      <c r="E35" s="39">
        <f>+DI!$H$4*'3. Proyección Ventas'!E35</f>
        <v>9982206.8335531615</v>
      </c>
      <c r="F35" s="39">
        <f>+DI!$H$4*'3. Proyección Ventas'!F35</f>
        <v>10695221.607378386</v>
      </c>
      <c r="G35" s="39">
        <f>+DI!$H$4*'3. Proyección Ventas'!G35</f>
        <v>9982206.8335531615</v>
      </c>
      <c r="H35" s="39">
        <f>+DI!$H$4*'3. Proyección Ventas'!H35</f>
        <v>13547280.702679288</v>
      </c>
      <c r="I35" s="39">
        <f>+DI!$H$4*'3. Proyección Ventas'!I35</f>
        <v>9269192.0597279351</v>
      </c>
      <c r="J35" s="39">
        <f>+DI!$H$4*'3. Proyección Ventas'!J35</f>
        <v>9982206.8335531615</v>
      </c>
      <c r="K35" s="39">
        <f>+DI!$H$4*'3. Proyección Ventas'!K35</f>
        <v>9269192.0597279351</v>
      </c>
      <c r="L35" s="39">
        <f>+DI!$H$4*'3. Proyección Ventas'!L35</f>
        <v>19964413.667106323</v>
      </c>
      <c r="M35" s="39">
        <f>+DI!$H$4*'3. Proyección Ventas'!M35</f>
        <v>18538384.11945587</v>
      </c>
      <c r="N35" s="39">
        <f>+SUM(B35:M35)</f>
        <v>138324866.1220938</v>
      </c>
      <c r="O35" s="39">
        <f>+AVERAGE(C35:M35)</f>
        <v>11926792.580349235</v>
      </c>
      <c r="P35" s="21">
        <f t="shared" si="6"/>
        <v>542126.93547041982</v>
      </c>
    </row>
    <row r="36" spans="1:16" x14ac:dyDescent="0.25">
      <c r="A36" s="42" t="str">
        <f>+A27</f>
        <v>Memoria RAM (DDR5 2x16gb)</v>
      </c>
      <c r="B36" s="39">
        <f>+DI!$H$5*'3. Proyección Ventas'!B36</f>
        <v>7935854.4326747619</v>
      </c>
      <c r="C36" s="39">
        <f>+DI!$H$5*'3. Proyección Ventas'!C36</f>
        <v>10203241.41343898</v>
      </c>
      <c r="D36" s="39">
        <f>+DI!$H$5*'3. Proyección Ventas'!D36</f>
        <v>13604321.884585306</v>
      </c>
      <c r="E36" s="39">
        <f>+DI!$H$5*'3. Proyección Ventas'!E36</f>
        <v>12470628.394203195</v>
      </c>
      <c r="F36" s="39">
        <f>+DI!$H$5*'3. Proyección Ventas'!F36</f>
        <v>12470628.394203195</v>
      </c>
      <c r="G36" s="39">
        <f>+DI!$H$5*'3. Proyección Ventas'!G36</f>
        <v>13604321.884585306</v>
      </c>
      <c r="H36" s="39">
        <f>+DI!$H$5*'3. Proyección Ventas'!H36</f>
        <v>17005402.355731633</v>
      </c>
      <c r="I36" s="39">
        <f>+DI!$H$5*'3. Proyección Ventas'!I36</f>
        <v>14738015.374967415</v>
      </c>
      <c r="J36" s="39">
        <f>+DI!$H$5*'3. Proyección Ventas'!J36</f>
        <v>17005402.355731633</v>
      </c>
      <c r="K36" s="39">
        <f>+DI!$H$5*'3. Proyección Ventas'!K36</f>
        <v>15871708.865349524</v>
      </c>
      <c r="L36" s="39">
        <f>+DI!$H$5*'3. Proyección Ventas'!L36</f>
        <v>27208643.769170612</v>
      </c>
      <c r="M36" s="39">
        <f>+DI!$H$5*'3. Proyección Ventas'!M36</f>
        <v>27208643.769170612</v>
      </c>
      <c r="N36" s="39">
        <f>+SUM(B36:M36)</f>
        <v>189326812.89381218</v>
      </c>
      <c r="O36" s="39">
        <f>+AVERAGE(C36:M36)</f>
        <v>16490087.132830674</v>
      </c>
      <c r="P36" s="21">
        <f t="shared" si="6"/>
        <v>749549.41512866702</v>
      </c>
    </row>
    <row r="37" spans="1:16" x14ac:dyDescent="0.25">
      <c r="A37" s="42" t="str">
        <f>+A28</f>
        <v>Tarjeta grafica (4060)</v>
      </c>
      <c r="B37" s="39">
        <f>+DI!$H$6*'3. Proyección Ventas'!B37</f>
        <v>6702338.8739571208</v>
      </c>
      <c r="C37" s="39">
        <f>+DI!$H$6*'3. Proyección Ventas'!C37</f>
        <v>13404677.747914242</v>
      </c>
      <c r="D37" s="39">
        <f>+DI!$H$6*'3. Proyección Ventas'!D37</f>
        <v>3351169.4369785604</v>
      </c>
      <c r="E37" s="39">
        <f>+DI!$H$6*'3. Proyección Ventas'!E37</f>
        <v>6702338.8739571208</v>
      </c>
      <c r="F37" s="39">
        <f>+DI!$H$6*'3. Proyección Ventas'!F37</f>
        <v>10053508.310935682</v>
      </c>
      <c r="G37" s="39">
        <f>+DI!$H$6*'3. Proyección Ventas'!G37</f>
        <v>13404677.747914242</v>
      </c>
      <c r="H37" s="39">
        <f>+DI!$H$6*'3. Proyección Ventas'!H37</f>
        <v>10053508.310935682</v>
      </c>
      <c r="I37" s="39">
        <f>+DI!$H$6*'3. Proyección Ventas'!I37</f>
        <v>10053508.310935682</v>
      </c>
      <c r="J37" s="39">
        <f>+DI!$H$6*'3. Proyección Ventas'!J37</f>
        <v>6702338.8739571208</v>
      </c>
      <c r="K37" s="39">
        <f>+DI!$H$6*'3. Proyección Ventas'!K37</f>
        <v>10053508.310935682</v>
      </c>
      <c r="L37" s="39">
        <f>+DI!$H$6*'3. Proyección Ventas'!L37</f>
        <v>23458186.058849927</v>
      </c>
      <c r="M37" s="39">
        <f>+DI!$H$6*'3. Proyección Ventas'!M37</f>
        <v>36862863.806764163</v>
      </c>
      <c r="N37" s="39">
        <f>+SUM(B37:M37)</f>
        <v>150802624.66403523</v>
      </c>
      <c r="O37" s="39">
        <f>+AVERAGE(C37:M37)</f>
        <v>13100025.980916191</v>
      </c>
      <c r="P37" s="21">
        <f t="shared" si="6"/>
        <v>595455.72640528146</v>
      </c>
    </row>
    <row r="38" spans="1:16" x14ac:dyDescent="0.25">
      <c r="A38" s="42" t="str">
        <f>+A29</f>
        <v>Memoria USB (64gb)</v>
      </c>
      <c r="B38" s="39">
        <f>+DI!$H$7*'3. Proyección Ventas'!B38</f>
        <v>1711235.4571805415</v>
      </c>
      <c r="C38" s="39">
        <f>+DI!$H$7*'3. Proyección Ventas'!C38</f>
        <v>1825317.8209925778</v>
      </c>
      <c r="D38" s="39">
        <f>+DI!$H$7*'3. Proyección Ventas'!D38</f>
        <v>2167564.9124286859</v>
      </c>
      <c r="E38" s="39">
        <f>+DI!$H$7*'3. Proyección Ventas'!E38</f>
        <v>2281647.2762407223</v>
      </c>
      <c r="F38" s="39">
        <f>+DI!$H$7*'3. Proyección Ventas'!F38</f>
        <v>3308388.5505490475</v>
      </c>
      <c r="G38" s="39">
        <f>+DI!$H$7*'3. Proyección Ventas'!G38</f>
        <v>2966141.459112939</v>
      </c>
      <c r="H38" s="39">
        <f>+DI!$H$7*'3. Proyección Ventas'!H38</f>
        <v>3992882.7334212638</v>
      </c>
      <c r="I38" s="39">
        <f>+DI!$H$7*'3. Proyección Ventas'!I38</f>
        <v>2737976.7314888667</v>
      </c>
      <c r="J38" s="39">
        <f>+DI!$H$7*'3. Proyección Ventas'!J38</f>
        <v>3650635.6419851556</v>
      </c>
      <c r="K38" s="39">
        <f>+DI!$H$7*'3. Proyección Ventas'!K38</f>
        <v>4791459.2801055163</v>
      </c>
      <c r="L38" s="39">
        <f>+DI!$H$7*'3. Proyección Ventas'!L38</f>
        <v>6730859.4649101291</v>
      </c>
      <c r="M38" s="39">
        <f>+DI!$H$7*'3. Proyección Ventas'!M38</f>
        <v>6959024.1925342018</v>
      </c>
      <c r="N38" s="39">
        <f>+SUM(B38:M38)</f>
        <v>43123133.520949647</v>
      </c>
      <c r="O38" s="39">
        <f>+AVERAGE(C38:M38)</f>
        <v>3764718.0057971911</v>
      </c>
      <c r="P38" s="21">
        <f t="shared" si="6"/>
        <v>171123.54571805414</v>
      </c>
    </row>
    <row r="39" spans="1:16" x14ac:dyDescent="0.25">
      <c r="A39" s="43" t="s">
        <v>4</v>
      </c>
      <c r="B39" s="44">
        <f>SUM(B34:B38)</f>
        <v>25190811.959245224</v>
      </c>
      <c r="C39" s="44">
        <f t="shared" ref="C39:O39" si="7">SUM(C34:C38)</f>
        <v>36042896.816865161</v>
      </c>
      <c r="D39" s="44">
        <f t="shared" si="7"/>
        <v>33155186.982872993</v>
      </c>
      <c r="E39" s="44">
        <f t="shared" si="7"/>
        <v>34174798.109443069</v>
      </c>
      <c r="F39" s="44">
        <f t="shared" si="7"/>
        <v>39722053.049803324</v>
      </c>
      <c r="G39" s="44">
        <f t="shared" si="7"/>
        <v>44862889.569083206</v>
      </c>
      <c r="H39" s="44">
        <f t="shared" si="7"/>
        <v>48135627.380940989</v>
      </c>
      <c r="I39" s="44">
        <f t="shared" si="7"/>
        <v>39308504.480984695</v>
      </c>
      <c r="J39" s="44">
        <f t="shared" si="7"/>
        <v>39964478.072903901</v>
      </c>
      <c r="K39" s="44">
        <f t="shared" si="7"/>
        <v>42039351.064735308</v>
      </c>
      <c r="L39" s="44">
        <f t="shared" si="7"/>
        <v>82609891.695390657</v>
      </c>
      <c r="M39" s="44">
        <f t="shared" si="7"/>
        <v>95501198.806150734</v>
      </c>
      <c r="N39" s="44">
        <f t="shared" si="7"/>
        <v>560707687.98841918</v>
      </c>
      <c r="O39" s="44">
        <f t="shared" si="7"/>
        <v>48683352.366288558</v>
      </c>
      <c r="P39" s="22">
        <f t="shared" si="6"/>
        <v>2212879.6530131162</v>
      </c>
    </row>
    <row r="41" spans="1:16" ht="21" x14ac:dyDescent="0.35">
      <c r="A41" s="349" t="s">
        <v>52</v>
      </c>
      <c r="B41" s="349"/>
      <c r="C41" s="349"/>
      <c r="D41" s="349"/>
      <c r="E41" s="349"/>
      <c r="F41" s="349"/>
      <c r="G41" s="349"/>
      <c r="H41" s="349"/>
      <c r="I41" s="349"/>
      <c r="J41" s="349"/>
      <c r="K41" s="349"/>
      <c r="L41" s="349"/>
      <c r="M41" s="349"/>
    </row>
    <row r="42" spans="1:16" x14ac:dyDescent="0.25">
      <c r="A42" s="31" t="s">
        <v>21</v>
      </c>
      <c r="B42" s="16" t="s">
        <v>31</v>
      </c>
      <c r="C42" s="16" t="s">
        <v>32</v>
      </c>
      <c r="D42" s="16" t="s">
        <v>33</v>
      </c>
      <c r="E42" s="16" t="s">
        <v>34</v>
      </c>
      <c r="F42" s="16" t="s">
        <v>35</v>
      </c>
      <c r="G42" s="16" t="s">
        <v>36</v>
      </c>
      <c r="H42" s="16" t="s">
        <v>37</v>
      </c>
      <c r="I42" s="16" t="s">
        <v>38</v>
      </c>
      <c r="J42" s="16" t="s">
        <v>39</v>
      </c>
      <c r="K42" s="16" t="s">
        <v>40</v>
      </c>
      <c r="L42" s="16" t="s">
        <v>41</v>
      </c>
      <c r="M42" s="16" t="s">
        <v>42</v>
      </c>
      <c r="N42" s="16" t="s">
        <v>53</v>
      </c>
      <c r="O42" s="16" t="s">
        <v>54</v>
      </c>
      <c r="P42" s="16" t="s">
        <v>55</v>
      </c>
    </row>
    <row r="43" spans="1:16" x14ac:dyDescent="0.25">
      <c r="A43" s="42" t="str">
        <f>+A34</f>
        <v>Servicio tecnico</v>
      </c>
      <c r="B43" s="39">
        <f>+DI!$I$3*'3. Proyección Ventas'!B43</f>
        <v>1926131.5502755451</v>
      </c>
      <c r="C43" s="39">
        <f>+DI!$I$3*'3. Proyección Ventas'!C43</f>
        <v>2311357.8603306543</v>
      </c>
      <c r="D43" s="39">
        <f>+DI!$I$3*'3. Proyección Ventas'!D43</f>
        <v>2953401.7104225028</v>
      </c>
      <c r="E43" s="39">
        <f>+DI!$I$3*'3. Proyección Ventas'!E43</f>
        <v>3081810.4804408723</v>
      </c>
      <c r="F43" s="39">
        <f>+DI!$I$3*'3. Proyección Ventas'!F43</f>
        <v>3595445.5605143514</v>
      </c>
      <c r="G43" s="39">
        <f>+DI!$I$3*'3. Proyección Ventas'!G43</f>
        <v>5521577.1107898969</v>
      </c>
      <c r="H43" s="39">
        <f>+DI!$I$3*'3. Proyección Ventas'!H43</f>
        <v>3980671.8705694601</v>
      </c>
      <c r="I43" s="39">
        <f>+DI!$I$3*'3. Proyección Ventas'!I43</f>
        <v>2824992.9404041329</v>
      </c>
      <c r="J43" s="39">
        <f>+DI!$I$3*'3. Proyección Ventas'!J43</f>
        <v>2953401.7104225028</v>
      </c>
      <c r="K43" s="39">
        <f>+DI!$I$3*'3. Proyección Ventas'!K43</f>
        <v>2311357.8603306543</v>
      </c>
      <c r="L43" s="39">
        <f>+DI!$I$3*'3. Proyección Ventas'!L43</f>
        <v>5906803.4208450057</v>
      </c>
      <c r="M43" s="39">
        <f>+DI!$I$3*'3. Proyección Ventas'!M43</f>
        <v>6677256.0409552241</v>
      </c>
      <c r="N43" s="39">
        <f>+SUM(B43:M43)</f>
        <v>44044208.116300799</v>
      </c>
      <c r="O43" s="39">
        <f>+AVERAGE(C43:M43)</f>
        <v>3828916.0514568407</v>
      </c>
      <c r="P43" s="21">
        <f t="shared" ref="P43:P48" si="8">+O43/22</f>
        <v>174041.63870258367</v>
      </c>
    </row>
    <row r="44" spans="1:16" x14ac:dyDescent="0.25">
      <c r="A44" s="42" t="str">
        <f>+A35</f>
        <v>Disco SSD (500gb)</v>
      </c>
      <c r="B44" s="39">
        <f>+DI!$I$4*'3. Proyección Ventas'!B44</f>
        <v>8025548.1261481075</v>
      </c>
      <c r="C44" s="39">
        <f>+DI!$I$4*'3. Proyección Ventas'!C44</f>
        <v>9630657.7513777278</v>
      </c>
      <c r="D44" s="39">
        <f>+DI!$I$4*'3. Proyección Ventas'!D44</f>
        <v>12840877.001836972</v>
      </c>
      <c r="E44" s="39">
        <f>+DI!$I$4*'3. Proyección Ventas'!E44</f>
        <v>11235767.376607351</v>
      </c>
      <c r="F44" s="39">
        <f>+DI!$I$4*'3. Proyección Ventas'!F44</f>
        <v>12038322.189222161</v>
      </c>
      <c r="G44" s="39">
        <f>+DI!$I$4*'3. Proyección Ventas'!G44</f>
        <v>11235767.376607351</v>
      </c>
      <c r="H44" s="39">
        <f>+DI!$I$4*'3. Proyección Ventas'!H44</f>
        <v>15248541.439681401</v>
      </c>
      <c r="I44" s="39">
        <f>+DI!$I$4*'3. Proyección Ventas'!I44</f>
        <v>10433212.563992539</v>
      </c>
      <c r="J44" s="39">
        <f>+DI!$I$4*'3. Proyección Ventas'!J44</f>
        <v>11235767.376607351</v>
      </c>
      <c r="K44" s="39">
        <f>+DI!$I$4*'3. Proyección Ventas'!K44</f>
        <v>10433212.563992539</v>
      </c>
      <c r="L44" s="39">
        <f>+DI!$I$4*'3. Proyección Ventas'!L44</f>
        <v>22471534.753214702</v>
      </c>
      <c r="M44" s="39">
        <f>+DI!$I$4*'3. Proyección Ventas'!M44</f>
        <v>20866425.127985079</v>
      </c>
      <c r="N44" s="39">
        <f>+SUM(B44:M44)</f>
        <v>155695633.6472733</v>
      </c>
      <c r="O44" s="39">
        <f>+AVERAGE(C44:M44)</f>
        <v>13424553.229193199</v>
      </c>
      <c r="P44" s="21">
        <f t="shared" si="8"/>
        <v>610206.96496332728</v>
      </c>
    </row>
    <row r="45" spans="1:16" x14ac:dyDescent="0.25">
      <c r="A45" s="42" t="str">
        <f>+A36</f>
        <v>Memoria RAM (DDR5 2x16gb)</v>
      </c>
      <c r="B45" s="39">
        <f>+DI!$I$5*'3. Proyección Ventas'!B45</f>
        <v>8932435.064402841</v>
      </c>
      <c r="C45" s="39">
        <f>+DI!$I$5*'3. Proyección Ventas'!C45</f>
        <v>11484559.368517937</v>
      </c>
      <c r="D45" s="39">
        <f>+DI!$I$5*'3. Proyección Ventas'!D45</f>
        <v>15312745.824690584</v>
      </c>
      <c r="E45" s="39">
        <f>+DI!$I$5*'3. Proyección Ventas'!E45</f>
        <v>14036683.672633035</v>
      </c>
      <c r="F45" s="39">
        <f>+DI!$I$5*'3. Proyección Ventas'!F45</f>
        <v>14036683.672633035</v>
      </c>
      <c r="G45" s="39">
        <f>+DI!$I$5*'3. Proyección Ventas'!G45</f>
        <v>15312745.824690584</v>
      </c>
      <c r="H45" s="39">
        <f>+DI!$I$5*'3. Proyección Ventas'!H45</f>
        <v>19140932.280863229</v>
      </c>
      <c r="I45" s="39">
        <f>+DI!$I$5*'3. Proyección Ventas'!I45</f>
        <v>16588807.976748135</v>
      </c>
      <c r="J45" s="39">
        <f>+DI!$I$5*'3. Proyección Ventas'!J45</f>
        <v>19140932.280863229</v>
      </c>
      <c r="K45" s="39">
        <f>+DI!$I$5*'3. Proyección Ventas'!K45</f>
        <v>17864870.128805682</v>
      </c>
      <c r="L45" s="39">
        <f>+DI!$I$5*'3. Proyección Ventas'!L45</f>
        <v>30625491.649381168</v>
      </c>
      <c r="M45" s="39">
        <f>+DI!$I$5*'3. Proyección Ventas'!M45</f>
        <v>30625491.649381168</v>
      </c>
      <c r="N45" s="39">
        <f>+SUM(B45:M45)</f>
        <v>213102379.3936106</v>
      </c>
      <c r="O45" s="39">
        <f>+AVERAGE(C45:M45)</f>
        <v>18560904.02992798</v>
      </c>
      <c r="P45" s="21">
        <f t="shared" si="8"/>
        <v>843677.45590581733</v>
      </c>
    </row>
    <row r="46" spans="1:16" x14ac:dyDescent="0.25">
      <c r="A46" s="42" t="str">
        <f>+A37</f>
        <v>Tarjeta grafica (4060)</v>
      </c>
      <c r="B46" s="39">
        <f>+DI!$I$6*'3. Proyección Ventas'!B46</f>
        <v>7544015.2385792192</v>
      </c>
      <c r="C46" s="39">
        <f>+DI!$I$6*'3. Proyección Ventas'!C46</f>
        <v>15088030.477158438</v>
      </c>
      <c r="D46" s="39">
        <f>+DI!$I$6*'3. Proyección Ventas'!D46</f>
        <v>3772007.6192896096</v>
      </c>
      <c r="E46" s="39">
        <f>+DI!$I$6*'3. Proyección Ventas'!E46</f>
        <v>7544015.2385792192</v>
      </c>
      <c r="F46" s="39">
        <f>+DI!$I$6*'3. Proyección Ventas'!F46</f>
        <v>11316022.857868828</v>
      </c>
      <c r="G46" s="39">
        <f>+DI!$I$6*'3. Proyección Ventas'!G46</f>
        <v>15088030.477158438</v>
      </c>
      <c r="H46" s="39">
        <f>+DI!$I$6*'3. Proyección Ventas'!H46</f>
        <v>11316022.857868828</v>
      </c>
      <c r="I46" s="39">
        <f>+DI!$I$6*'3. Proyección Ventas'!I46</f>
        <v>11316022.857868828</v>
      </c>
      <c r="J46" s="39">
        <f>+DI!$I$6*'3. Proyección Ventas'!J46</f>
        <v>7544015.2385792192</v>
      </c>
      <c r="K46" s="39">
        <f>+DI!$I$6*'3. Proyección Ventas'!K46</f>
        <v>11316022.857868828</v>
      </c>
      <c r="L46" s="39">
        <f>+DI!$I$6*'3. Proyección Ventas'!L46</f>
        <v>26404053.335027266</v>
      </c>
      <c r="M46" s="39">
        <f>+DI!$I$6*'3. Proyección Ventas'!M46</f>
        <v>41492083.812185697</v>
      </c>
      <c r="N46" s="39">
        <f>+SUM(B46:M46)</f>
        <v>169740342.8680324</v>
      </c>
      <c r="O46" s="39">
        <f>+AVERAGE(C46:M46)</f>
        <v>14745120.693586653</v>
      </c>
      <c r="P46" s="21">
        <f t="shared" si="8"/>
        <v>670232.75879939331</v>
      </c>
    </row>
    <row r="47" spans="1:16" x14ac:dyDescent="0.25">
      <c r="A47" s="42" t="str">
        <f>+A38</f>
        <v>Memoria USB (64gb)</v>
      </c>
      <c r="B47" s="39">
        <f>+DI!$I$7*'3. Proyección Ventas'!B47</f>
        <v>1926131.5502755451</v>
      </c>
      <c r="C47" s="39">
        <f>+DI!$I$7*'3. Proyección Ventas'!C47</f>
        <v>2054540.3202939152</v>
      </c>
      <c r="D47" s="39">
        <f>+DI!$I$7*'3. Proyección Ventas'!D47</f>
        <v>2439766.6303490237</v>
      </c>
      <c r="E47" s="39">
        <f>+DI!$I$7*'3. Proyección Ventas'!E47</f>
        <v>2568175.4003673936</v>
      </c>
      <c r="F47" s="39">
        <f>+DI!$I$7*'3. Proyección Ventas'!F47</f>
        <v>3723854.3305327217</v>
      </c>
      <c r="G47" s="39">
        <f>+DI!$I$7*'3. Proyección Ventas'!G47</f>
        <v>3338628.020477612</v>
      </c>
      <c r="H47" s="39">
        <f>+DI!$I$7*'3. Proyección Ventas'!H47</f>
        <v>4494306.9506429387</v>
      </c>
      <c r="I47" s="39">
        <f>+DI!$I$7*'3. Proyección Ventas'!I47</f>
        <v>3081810.4804408723</v>
      </c>
      <c r="J47" s="39">
        <f>+DI!$I$7*'3. Proyección Ventas'!J47</f>
        <v>4109080.6405878305</v>
      </c>
      <c r="K47" s="39">
        <f>+DI!$I$7*'3. Proyección Ventas'!K47</f>
        <v>5393168.340771527</v>
      </c>
      <c r="L47" s="39">
        <f>+DI!$I$7*'3. Proyección Ventas'!L47</f>
        <v>7576117.4310838105</v>
      </c>
      <c r="M47" s="39">
        <f>+DI!$I$7*'3. Proyección Ventas'!M47</f>
        <v>7832934.9711205494</v>
      </c>
      <c r="N47" s="39">
        <f>+SUM(B47:M47)</f>
        <v>48538515.066943742</v>
      </c>
      <c r="O47" s="39">
        <f>+AVERAGE(C47:M47)</f>
        <v>4237489.4106061989</v>
      </c>
      <c r="P47" s="21">
        <f t="shared" si="8"/>
        <v>192613.15502755449</v>
      </c>
    </row>
    <row r="48" spans="1:16" x14ac:dyDescent="0.25">
      <c r="A48" s="43" t="s">
        <v>4</v>
      </c>
      <c r="B48" s="44">
        <f>SUM(B43:B47)</f>
        <v>28354261.529681262</v>
      </c>
      <c r="C48" s="44">
        <f t="shared" ref="C48:O48" si="9">SUM(C43:C47)</f>
        <v>40569145.777678676</v>
      </c>
      <c r="D48" s="44">
        <f t="shared" si="9"/>
        <v>37318798.786588691</v>
      </c>
      <c r="E48" s="44">
        <f t="shared" si="9"/>
        <v>38466452.168627873</v>
      </c>
      <c r="F48" s="44">
        <f t="shared" si="9"/>
        <v>44710328.610771097</v>
      </c>
      <c r="G48" s="44">
        <f t="shared" si="9"/>
        <v>50496748.809723891</v>
      </c>
      <c r="H48" s="44">
        <f t="shared" si="9"/>
        <v>54180475.399625853</v>
      </c>
      <c r="I48" s="44">
        <f t="shared" si="9"/>
        <v>44244846.819454506</v>
      </c>
      <c r="J48" s="44">
        <f t="shared" si="9"/>
        <v>44983197.247060135</v>
      </c>
      <c r="K48" s="44">
        <f t="shared" si="9"/>
        <v>47318631.75176923</v>
      </c>
      <c r="L48" s="44">
        <f t="shared" si="9"/>
        <v>92984000.589551955</v>
      </c>
      <c r="M48" s="44">
        <f t="shared" si="9"/>
        <v>107494191.60162772</v>
      </c>
      <c r="N48" s="44">
        <f t="shared" si="9"/>
        <v>631121079.09216082</v>
      </c>
      <c r="O48" s="44">
        <f t="shared" si="9"/>
        <v>54796983.414770871</v>
      </c>
      <c r="P48" s="22">
        <f t="shared" si="8"/>
        <v>2490771.9733986761</v>
      </c>
    </row>
  </sheetData>
  <sheetProtection algorithmName="SHA-512" hashValue="l5IsbQDYv23gqdNuIdxIjxuQyrj8c7GPFNUmYN5i+GqWmz2WOMqRMBBm0M2W9yr+ktWerNHHcouwBWmisHK4gA==" saltValue="XCjvBKmca8gfY0S+FDS1Ag==" spinCount="100000" sheet="1" objects="1" scenarios="1"/>
  <mergeCells count="8">
    <mergeCell ref="A1:P1"/>
    <mergeCell ref="A41:M41"/>
    <mergeCell ref="A4:P4"/>
    <mergeCell ref="A2:M2"/>
    <mergeCell ref="A5:M5"/>
    <mergeCell ref="A14:M14"/>
    <mergeCell ref="A23:M23"/>
    <mergeCell ref="A32:M32"/>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B7CF01-8E97-4906-8ABE-659D386D8A97}">
  <sheetPr codeName="Hoja11"/>
  <dimension ref="A1:P93"/>
  <sheetViews>
    <sheetView showGridLines="0" topLeftCell="A9" workbookViewId="0">
      <selection activeCell="D12" sqref="D12"/>
    </sheetView>
  </sheetViews>
  <sheetFormatPr baseColWidth="10" defaultColWidth="11.42578125" defaultRowHeight="15" x14ac:dyDescent="0.25"/>
  <cols>
    <col min="1" max="1" width="62.5703125" style="15" customWidth="1"/>
    <col min="2" max="2" width="13.140625" style="79" customWidth="1"/>
    <col min="3" max="3" width="15.42578125" style="15" customWidth="1"/>
    <col min="4" max="7" width="16.42578125" style="15" customWidth="1"/>
    <col min="8" max="12" width="17" style="15" customWidth="1"/>
    <col min="13" max="16384" width="11.42578125" style="15"/>
  </cols>
  <sheetData>
    <row r="1" spans="1:16" ht="28.5" customHeight="1" x14ac:dyDescent="0.25">
      <c r="A1" s="301" t="str">
        <f>+'Ventas Pesos Mes'!A1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01"/>
      <c r="C1" s="301"/>
      <c r="D1" s="301"/>
      <c r="E1" s="301"/>
      <c r="F1" s="301"/>
      <c r="G1" s="301"/>
      <c r="H1" s="301"/>
      <c r="I1" s="301"/>
      <c r="J1" s="301"/>
      <c r="K1" s="301"/>
      <c r="L1" s="301"/>
      <c r="M1" s="301"/>
      <c r="N1" s="301"/>
      <c r="O1" s="301"/>
      <c r="P1" s="301"/>
    </row>
    <row r="3" spans="1:16" ht="52.5" customHeight="1" x14ac:dyDescent="0.25">
      <c r="A3" s="365" t="s">
        <v>102</v>
      </c>
      <c r="B3" s="352"/>
      <c r="C3" s="352"/>
      <c r="D3" s="352"/>
      <c r="E3" s="352"/>
      <c r="F3" s="352"/>
      <c r="G3" s="352"/>
      <c r="H3" s="352"/>
      <c r="I3" s="352"/>
      <c r="J3" s="352"/>
      <c r="K3" s="352"/>
      <c r="L3" s="352"/>
    </row>
    <row r="5" spans="1:16" x14ac:dyDescent="0.25">
      <c r="A5" s="366" t="s">
        <v>80</v>
      </c>
      <c r="B5" s="366"/>
      <c r="C5" s="366"/>
    </row>
    <row r="6" spans="1:16" x14ac:dyDescent="0.25">
      <c r="A6" s="68"/>
      <c r="B6" s="69"/>
      <c r="C6" s="68"/>
    </row>
    <row r="7" spans="1:16" x14ac:dyDescent="0.25">
      <c r="A7" s="70" t="s">
        <v>81</v>
      </c>
      <c r="B7" s="359" t="str">
        <f>+'2. Mercado'!A5</f>
        <v>Servicio tecnico</v>
      </c>
      <c r="C7" s="359"/>
      <c r="D7" s="359"/>
    </row>
    <row r="8" spans="1:16" ht="35.25" customHeight="1" x14ac:dyDescent="0.25">
      <c r="A8" s="71" t="s">
        <v>82</v>
      </c>
      <c r="B8" s="72" t="s">
        <v>83</v>
      </c>
      <c r="C8" s="73" t="s">
        <v>84</v>
      </c>
      <c r="D8" s="73" t="s">
        <v>85</v>
      </c>
      <c r="E8" s="73" t="s">
        <v>86</v>
      </c>
      <c r="F8" s="73" t="s">
        <v>87</v>
      </c>
      <c r="G8" s="73" t="s">
        <v>88</v>
      </c>
      <c r="H8" s="74" t="s">
        <v>89</v>
      </c>
      <c r="I8" s="74" t="s">
        <v>90</v>
      </c>
      <c r="J8" s="74" t="s">
        <v>91</v>
      </c>
      <c r="K8" s="74" t="s">
        <v>92</v>
      </c>
      <c r="L8" s="74" t="s">
        <v>93</v>
      </c>
    </row>
    <row r="9" spans="1:16" x14ac:dyDescent="0.25">
      <c r="A9" s="17" t="s">
        <v>15</v>
      </c>
      <c r="B9" s="67">
        <v>2</v>
      </c>
      <c r="C9" s="63">
        <v>2381900</v>
      </c>
      <c r="D9" s="55">
        <f>(C9*DI!$B$7)+C9</f>
        <v>2541249.11</v>
      </c>
      <c r="E9" s="55">
        <f>(D9*DI!$B$7)+D9</f>
        <v>2711258.6754589998</v>
      </c>
      <c r="F9" s="55">
        <f>(E9*DI!$B$7)+E9</f>
        <v>2892641.8808472068</v>
      </c>
      <c r="G9" s="55">
        <f>(F9*DI!$B$7)+F9</f>
        <v>3086159.622675885</v>
      </c>
      <c r="H9" s="77">
        <f>+$B$9*C9</f>
        <v>4763800</v>
      </c>
      <c r="I9" s="77">
        <f>+$B$9*D9</f>
        <v>5082498.22</v>
      </c>
      <c r="J9" s="77">
        <f>+$B$9*E9</f>
        <v>5422517.3509179996</v>
      </c>
      <c r="K9" s="77">
        <f>+$B$9*F9</f>
        <v>5785283.7616944136</v>
      </c>
      <c r="L9" s="77">
        <f>+$B$9*G9</f>
        <v>6172319.24535177</v>
      </c>
    </row>
    <row r="10" spans="1:16" x14ac:dyDescent="0.25">
      <c r="A10" s="17"/>
      <c r="B10" s="67"/>
      <c r="C10" s="63"/>
      <c r="D10" s="55">
        <f>(C10*DI!$B$7)+C10</f>
        <v>0</v>
      </c>
      <c r="E10" s="55">
        <f>(D10*DI!$B$7)+D10</f>
        <v>0</v>
      </c>
      <c r="F10" s="55">
        <f>(E10*DI!$B$7)+E10</f>
        <v>0</v>
      </c>
      <c r="G10" s="55">
        <f>(F10*DI!$B$7)+F10</f>
        <v>0</v>
      </c>
      <c r="H10" s="77">
        <f>+$B$10*C10</f>
        <v>0</v>
      </c>
      <c r="I10" s="77">
        <f>+$B$10*D10</f>
        <v>0</v>
      </c>
      <c r="J10" s="77">
        <f>+$B$10*E10</f>
        <v>0</v>
      </c>
      <c r="K10" s="77">
        <f>+$B$10*F10</f>
        <v>0</v>
      </c>
      <c r="L10" s="77">
        <f>+$B$10*G10</f>
        <v>0</v>
      </c>
    </row>
    <row r="11" spans="1:16" hidden="1" x14ac:dyDescent="0.25">
      <c r="A11" s="17"/>
      <c r="B11" s="67"/>
      <c r="C11" s="63"/>
      <c r="D11" s="55">
        <f>(C11*DI!$B$7)+C11</f>
        <v>0</v>
      </c>
      <c r="E11" s="55">
        <f>(D11*DI!$B$7)+D11</f>
        <v>0</v>
      </c>
      <c r="F11" s="55">
        <f>(E11*DI!$B$7)+E11</f>
        <v>0</v>
      </c>
      <c r="G11" s="55">
        <f>(F11*DI!$B$7)+F11</f>
        <v>0</v>
      </c>
      <c r="H11" s="77">
        <f>+$B$11*C11</f>
        <v>0</v>
      </c>
      <c r="I11" s="77">
        <f>+$B$11*D11</f>
        <v>0</v>
      </c>
      <c r="J11" s="77">
        <f>+$B$11*E11</f>
        <v>0</v>
      </c>
      <c r="K11" s="77">
        <f>+$B$11*F11</f>
        <v>0</v>
      </c>
      <c r="L11" s="77">
        <f>+$B$11*G11</f>
        <v>0</v>
      </c>
    </row>
    <row r="12" spans="1:16" ht="15.75" thickBot="1" x14ac:dyDescent="0.3">
      <c r="A12" s="20" t="str">
        <f>+CONCATENATE(DI!$D$25,DI!D3)</f>
        <v>Otros Costos Variables Unitarios para  Servicio tecnico</v>
      </c>
      <c r="B12" s="83">
        <v>1</v>
      </c>
      <c r="C12" s="63"/>
      <c r="D12" s="55">
        <f>(C12*DI!$B$7)+C12</f>
        <v>0</v>
      </c>
      <c r="E12" s="55">
        <f>(D12*DI!$B$7)+D12</f>
        <v>0</v>
      </c>
      <c r="F12" s="55">
        <f>(E12*DI!$B$7)+E12</f>
        <v>0</v>
      </c>
      <c r="G12" s="55">
        <f>(F12*DI!$B$7)+F12</f>
        <v>0</v>
      </c>
      <c r="H12" s="77">
        <f>+$B$12*C12</f>
        <v>0</v>
      </c>
      <c r="I12" s="77">
        <f>+$B$12*D12</f>
        <v>0</v>
      </c>
      <c r="J12" s="77">
        <f>+$B$12*E12</f>
        <v>0</v>
      </c>
      <c r="K12" s="77">
        <f>+$B$12*F12</f>
        <v>0</v>
      </c>
      <c r="L12" s="77">
        <f>+$B$12*G12</f>
        <v>0</v>
      </c>
    </row>
    <row r="13" spans="1:16" hidden="1" x14ac:dyDescent="0.25">
      <c r="A13" s="62"/>
      <c r="B13" s="75"/>
      <c r="C13" s="76"/>
      <c r="D13" s="77">
        <v>0</v>
      </c>
      <c r="E13" s="77">
        <v>0</v>
      </c>
      <c r="F13" s="77">
        <v>0</v>
      </c>
      <c r="G13" s="77">
        <v>0</v>
      </c>
      <c r="H13" s="77">
        <f>+$B$13*C13</f>
        <v>0</v>
      </c>
      <c r="I13" s="77">
        <f>+$B$13*D13</f>
        <v>0</v>
      </c>
      <c r="J13" s="77">
        <f>+$B$13*E13</f>
        <v>0</v>
      </c>
      <c r="K13" s="77">
        <f>+$B$13*F13</f>
        <v>0</v>
      </c>
      <c r="L13" s="77">
        <f>+$B$13*G13</f>
        <v>0</v>
      </c>
    </row>
    <row r="14" spans="1:16" hidden="1" x14ac:dyDescent="0.25">
      <c r="A14" s="62"/>
      <c r="B14" s="75"/>
      <c r="C14" s="76"/>
      <c r="D14" s="77">
        <v>0</v>
      </c>
      <c r="E14" s="77">
        <v>0</v>
      </c>
      <c r="F14" s="77">
        <v>0</v>
      </c>
      <c r="G14" s="77">
        <v>0</v>
      </c>
      <c r="H14" s="77">
        <f>+$B$14*C14</f>
        <v>0</v>
      </c>
      <c r="I14" s="77">
        <f>+$B$14*D14</f>
        <v>0</v>
      </c>
      <c r="J14" s="77">
        <f>+$B$14*E14</f>
        <v>0</v>
      </c>
      <c r="K14" s="77">
        <f>+$B$14*F14</f>
        <v>0</v>
      </c>
      <c r="L14" s="77">
        <f>+$B$14*G14</f>
        <v>0</v>
      </c>
    </row>
    <row r="15" spans="1:16" hidden="1" x14ac:dyDescent="0.25">
      <c r="A15" s="62"/>
      <c r="B15" s="75"/>
      <c r="C15" s="76"/>
      <c r="D15" s="77">
        <v>0</v>
      </c>
      <c r="E15" s="77">
        <v>0</v>
      </c>
      <c r="F15" s="77">
        <v>0</v>
      </c>
      <c r="G15" s="77">
        <v>0</v>
      </c>
      <c r="H15" s="77">
        <f>+$B$15*C15</f>
        <v>0</v>
      </c>
      <c r="I15" s="77">
        <f>+$B$15*D15</f>
        <v>0</v>
      </c>
      <c r="J15" s="77">
        <f>+$B$15*E15</f>
        <v>0</v>
      </c>
      <c r="K15" s="77">
        <f>+$B$15*F15</f>
        <v>0</v>
      </c>
      <c r="L15" s="77">
        <f>+$B$15*G15</f>
        <v>0</v>
      </c>
    </row>
    <row r="16" spans="1:16" hidden="1" x14ac:dyDescent="0.25">
      <c r="A16" s="62"/>
      <c r="B16" s="75"/>
      <c r="C16" s="76"/>
      <c r="D16" s="77">
        <v>0</v>
      </c>
      <c r="E16" s="77">
        <v>0</v>
      </c>
      <c r="F16" s="77">
        <v>0</v>
      </c>
      <c r="G16" s="77">
        <v>0</v>
      </c>
      <c r="H16" s="77">
        <f>+$B$16*C16</f>
        <v>0</v>
      </c>
      <c r="I16" s="77">
        <f>+$B$16*D16</f>
        <v>0</v>
      </c>
      <c r="J16" s="77">
        <f>+$B$16*E16</f>
        <v>0</v>
      </c>
      <c r="K16" s="77">
        <f>+$B$16*F16</f>
        <v>0</v>
      </c>
      <c r="L16" s="77">
        <f>+$B$16*G16</f>
        <v>0</v>
      </c>
    </row>
    <row r="17" spans="1:12" hidden="1" x14ac:dyDescent="0.25">
      <c r="A17" s="62"/>
      <c r="B17" s="75"/>
      <c r="C17" s="76"/>
      <c r="D17" s="77">
        <v>0</v>
      </c>
      <c r="E17" s="77">
        <v>0</v>
      </c>
      <c r="F17" s="77">
        <v>0</v>
      </c>
      <c r="G17" s="77">
        <v>0</v>
      </c>
      <c r="H17" s="77">
        <f>+$B$17*C17</f>
        <v>0</v>
      </c>
      <c r="I17" s="77">
        <f>+$B$17*D17</f>
        <v>0</v>
      </c>
      <c r="J17" s="77">
        <f>+$B$17*E17</f>
        <v>0</v>
      </c>
      <c r="K17" s="77">
        <f>+$B$17*F17</f>
        <v>0</v>
      </c>
      <c r="L17" s="77">
        <f>+$B$17*G17</f>
        <v>0</v>
      </c>
    </row>
    <row r="18" spans="1:12" ht="15.75" hidden="1" thickBot="1" x14ac:dyDescent="0.3">
      <c r="A18" s="62"/>
      <c r="B18" s="75"/>
      <c r="C18" s="76"/>
      <c r="D18" s="77">
        <v>0</v>
      </c>
      <c r="E18" s="77">
        <v>0</v>
      </c>
      <c r="F18" s="77">
        <v>0</v>
      </c>
      <c r="G18" s="77">
        <v>0</v>
      </c>
      <c r="H18" s="77">
        <f>+$B$18*C18</f>
        <v>0</v>
      </c>
      <c r="I18" s="77">
        <f>+$B$18*D18</f>
        <v>0</v>
      </c>
      <c r="J18" s="77">
        <f>+$B$18*E18</f>
        <v>0</v>
      </c>
      <c r="K18" s="77">
        <f>+$B$18*F18</f>
        <v>0</v>
      </c>
      <c r="L18" s="77">
        <f>+$B$18*G18</f>
        <v>0</v>
      </c>
    </row>
    <row r="19" spans="1:12" x14ac:dyDescent="0.25">
      <c r="A19" s="360" t="s">
        <v>94</v>
      </c>
      <c r="B19" s="361"/>
      <c r="C19" s="78">
        <f t="shared" ref="C19:G19" si="0">SUM(C9:C18)</f>
        <v>2381900</v>
      </c>
      <c r="D19" s="78">
        <f t="shared" si="0"/>
        <v>2541249.11</v>
      </c>
      <c r="E19" s="78">
        <f t="shared" si="0"/>
        <v>2711258.6754589998</v>
      </c>
      <c r="F19" s="78">
        <f t="shared" si="0"/>
        <v>2892641.8808472068</v>
      </c>
      <c r="G19" s="78">
        <f t="shared" si="0"/>
        <v>3086159.622675885</v>
      </c>
      <c r="H19" s="64">
        <f>SUM(H9:H18)</f>
        <v>4763800</v>
      </c>
      <c r="I19" s="64">
        <f t="shared" ref="I19:L19" si="1">SUM(I9:I18)</f>
        <v>5082498.22</v>
      </c>
      <c r="J19" s="64">
        <f t="shared" si="1"/>
        <v>5422517.3509179996</v>
      </c>
      <c r="K19" s="64">
        <f t="shared" si="1"/>
        <v>5785283.7616944136</v>
      </c>
      <c r="L19" s="64">
        <f t="shared" si="1"/>
        <v>6172319.24535177</v>
      </c>
    </row>
    <row r="20" spans="1:12" x14ac:dyDescent="0.25">
      <c r="D20" s="362" t="s">
        <v>95</v>
      </c>
      <c r="E20" s="363"/>
      <c r="F20" s="363"/>
      <c r="G20" s="364"/>
      <c r="H20" s="50">
        <f>+'5. Resumen Ventas Costos'!B17</f>
        <v>80000</v>
      </c>
      <c r="I20" s="50">
        <f>+'5. Resumen Ventas Costos'!C17</f>
        <v>85352</v>
      </c>
      <c r="J20" s="50">
        <f>+'5. Resumen Ventas Costos'!D17</f>
        <v>91062.048800000004</v>
      </c>
      <c r="K20" s="50">
        <f>+'5. Resumen Ventas Costos'!E17</f>
        <v>97154.099864720003</v>
      </c>
      <c r="L20" s="50">
        <f>+'5. Resumen Ventas Costos'!F17</f>
        <v>103653.70914566977</v>
      </c>
    </row>
    <row r="21" spans="1:12" x14ac:dyDescent="0.25">
      <c r="D21" s="355" t="s">
        <v>96</v>
      </c>
      <c r="E21" s="356"/>
      <c r="F21" s="356"/>
      <c r="G21" s="357"/>
      <c r="H21" s="65">
        <f>+H20-H19</f>
        <v>-4683800</v>
      </c>
      <c r="I21" s="65">
        <f>+I20-I19</f>
        <v>-4997146.22</v>
      </c>
      <c r="J21" s="65">
        <f>+J20-J19</f>
        <v>-5331455.3021179996</v>
      </c>
      <c r="K21" s="65">
        <f>+K20-K19</f>
        <v>-5688129.6618296932</v>
      </c>
      <c r="L21" s="65">
        <f>+L20-L19</f>
        <v>-6068665.5362061001</v>
      </c>
    </row>
    <row r="22" spans="1:12" x14ac:dyDescent="0.25">
      <c r="D22" s="355" t="s">
        <v>97</v>
      </c>
      <c r="E22" s="356"/>
      <c r="F22" s="356"/>
      <c r="G22" s="357"/>
      <c r="H22" s="358" t="str">
        <f>+IF(H21&lt;=0,"El análisis de precio de costo unitario para este producto o servicio visualiza PÉRDIDA","El análisis del precio de costo unitario para este producto o servicio visualiza UTILIDAD")</f>
        <v>El análisis de precio de costo unitario para este producto o servicio visualiza PÉRDIDA</v>
      </c>
      <c r="I22" s="358"/>
      <c r="J22" s="358"/>
      <c r="K22" s="358"/>
      <c r="L22" s="358"/>
    </row>
    <row r="24" spans="1:12" x14ac:dyDescent="0.25">
      <c r="A24" s="70" t="s">
        <v>98</v>
      </c>
      <c r="B24" s="359" t="str">
        <f>+'2. Mercado'!A6</f>
        <v>Disco SSD (500gb)</v>
      </c>
      <c r="C24" s="359"/>
      <c r="D24" s="359"/>
    </row>
    <row r="25" spans="1:12" ht="35.25" customHeight="1" x14ac:dyDescent="0.25">
      <c r="A25" s="71" t="s">
        <v>82</v>
      </c>
      <c r="B25" s="72" t="s">
        <v>83</v>
      </c>
      <c r="C25" s="73" t="s">
        <v>84</v>
      </c>
      <c r="D25" s="73" t="s">
        <v>85</v>
      </c>
      <c r="E25" s="73" t="s">
        <v>86</v>
      </c>
      <c r="F25" s="73" t="s">
        <v>87</v>
      </c>
      <c r="G25" s="73" t="s">
        <v>88</v>
      </c>
      <c r="H25" s="74" t="s">
        <v>89</v>
      </c>
      <c r="I25" s="74" t="s">
        <v>90</v>
      </c>
      <c r="J25" s="74" t="s">
        <v>91</v>
      </c>
      <c r="K25" s="74" t="s">
        <v>92</v>
      </c>
      <c r="L25" s="74" t="s">
        <v>93</v>
      </c>
    </row>
    <row r="26" spans="1:12" x14ac:dyDescent="0.25">
      <c r="A26" s="17" t="s">
        <v>553</v>
      </c>
      <c r="B26" s="67">
        <v>1</v>
      </c>
      <c r="C26" s="63">
        <v>400000</v>
      </c>
      <c r="D26" s="55">
        <f>(C26*DI!$B$7)+C26</f>
        <v>426760</v>
      </c>
      <c r="E26" s="55">
        <f>(D26*DI!$B$7)+D26</f>
        <v>455310.24400000001</v>
      </c>
      <c r="F26" s="55">
        <f>(E26*DI!$B$7)+E26</f>
        <v>485770.49932360003</v>
      </c>
      <c r="G26" s="55">
        <f>(F26*DI!$B$7)+F26</f>
        <v>518268.54572834889</v>
      </c>
      <c r="H26" s="77">
        <f>+$B$26*C26</f>
        <v>400000</v>
      </c>
      <c r="I26" s="77">
        <f>+$B$26*D26</f>
        <v>426760</v>
      </c>
      <c r="J26" s="77">
        <f>+$B$26*E26</f>
        <v>455310.24400000001</v>
      </c>
      <c r="K26" s="77">
        <f>+$B$26*F26</f>
        <v>485770.49932360003</v>
      </c>
      <c r="L26" s="77">
        <f>+$B$26*G26</f>
        <v>518268.54572834889</v>
      </c>
    </row>
    <row r="27" spans="1:12" x14ac:dyDescent="0.25">
      <c r="A27" s="17"/>
      <c r="B27" s="67"/>
      <c r="C27" s="63"/>
      <c r="D27" s="55">
        <f>(C27*DI!$B$7)+C27</f>
        <v>0</v>
      </c>
      <c r="E27" s="55">
        <f>(D27*DI!$B$7)+D27</f>
        <v>0</v>
      </c>
      <c r="F27" s="55">
        <f>(E27*DI!$B$7)+E27</f>
        <v>0</v>
      </c>
      <c r="G27" s="55">
        <f>(F27*DI!$B$7)+F27</f>
        <v>0</v>
      </c>
      <c r="H27" s="77">
        <f>+$B$27*C27</f>
        <v>0</v>
      </c>
      <c r="I27" s="77">
        <f>+$B$27*D27</f>
        <v>0</v>
      </c>
      <c r="J27" s="77">
        <f>+$B$27*E27</f>
        <v>0</v>
      </c>
      <c r="K27" s="77">
        <f>+$B$27*F27</f>
        <v>0</v>
      </c>
      <c r="L27" s="77">
        <f>+$B$27*G27</f>
        <v>0</v>
      </c>
    </row>
    <row r="28" spans="1:12" hidden="1" x14ac:dyDescent="0.25">
      <c r="A28" s="17"/>
      <c r="B28" s="67"/>
      <c r="C28" s="63"/>
      <c r="D28" s="55">
        <f>(C28*DI!$B$7)+C28</f>
        <v>0</v>
      </c>
      <c r="E28" s="55">
        <f>(D28*DI!$B$7)+D28</f>
        <v>0</v>
      </c>
      <c r="F28" s="55">
        <f>(E28*DI!$B$7)+E28</f>
        <v>0</v>
      </c>
      <c r="G28" s="55">
        <f>(F28*DI!$B$7)+F28</f>
        <v>0</v>
      </c>
      <c r="H28" s="77">
        <f>+$B$28*C28</f>
        <v>0</v>
      </c>
      <c r="I28" s="77">
        <f>+$B$28*D28</f>
        <v>0</v>
      </c>
      <c r="J28" s="77">
        <f>+$B$28*E28</f>
        <v>0</v>
      </c>
      <c r="K28" s="77">
        <f>+$B$28*F28</f>
        <v>0</v>
      </c>
      <c r="L28" s="77">
        <f>+$B$28*G28</f>
        <v>0</v>
      </c>
    </row>
    <row r="29" spans="1:12" ht="15.75" thickBot="1" x14ac:dyDescent="0.3">
      <c r="A29" s="20" t="str">
        <f>+CONCATENATE(DI!$D$25,DI!D4)</f>
        <v>Otros Costos Variables Unitarios para  Disco SSD (500gb)</v>
      </c>
      <c r="B29" s="83">
        <v>1</v>
      </c>
      <c r="C29" s="63"/>
      <c r="D29" s="55">
        <f>(C29*DI!$B$7)+C29</f>
        <v>0</v>
      </c>
      <c r="E29" s="55">
        <f>(D29*DI!$B$7)+D29</f>
        <v>0</v>
      </c>
      <c r="F29" s="55">
        <f>(E29*DI!$B$7)+E29</f>
        <v>0</v>
      </c>
      <c r="G29" s="55">
        <f>(F29*DI!$B$7)+F29</f>
        <v>0</v>
      </c>
      <c r="H29" s="77">
        <f>+$B$29*C29</f>
        <v>0</v>
      </c>
      <c r="I29" s="77">
        <f>+$B$29*D29</f>
        <v>0</v>
      </c>
      <c r="J29" s="77">
        <f>+$B$29*E29</f>
        <v>0</v>
      </c>
      <c r="K29" s="77">
        <f>+$B$29*F29</f>
        <v>0</v>
      </c>
      <c r="L29" s="77">
        <f>+$B$29*G29</f>
        <v>0</v>
      </c>
    </row>
    <row r="30" spans="1:12" hidden="1" x14ac:dyDescent="0.25">
      <c r="A30" s="62"/>
      <c r="B30" s="75"/>
      <c r="C30" s="76"/>
      <c r="D30" s="77">
        <v>0</v>
      </c>
      <c r="E30" s="77">
        <v>0</v>
      </c>
      <c r="F30" s="77">
        <v>0</v>
      </c>
      <c r="G30" s="77">
        <v>0</v>
      </c>
      <c r="H30" s="77">
        <f>+$B$30*C30</f>
        <v>0</v>
      </c>
      <c r="I30" s="77">
        <f>+$B$30*D30</f>
        <v>0</v>
      </c>
      <c r="J30" s="77">
        <f>+$B$30*E30</f>
        <v>0</v>
      </c>
      <c r="K30" s="77">
        <f>+$B$30*F30</f>
        <v>0</v>
      </c>
      <c r="L30" s="77">
        <f>+$B$30*G30</f>
        <v>0</v>
      </c>
    </row>
    <row r="31" spans="1:12" hidden="1" x14ac:dyDescent="0.25">
      <c r="A31" s="62"/>
      <c r="B31" s="75"/>
      <c r="C31" s="76"/>
      <c r="D31" s="77">
        <v>0</v>
      </c>
      <c r="E31" s="77">
        <v>0</v>
      </c>
      <c r="F31" s="77">
        <v>0</v>
      </c>
      <c r="G31" s="77">
        <v>0</v>
      </c>
      <c r="H31" s="77">
        <f>+$B$31*C31</f>
        <v>0</v>
      </c>
      <c r="I31" s="77">
        <f>+$B$31*D31</f>
        <v>0</v>
      </c>
      <c r="J31" s="77">
        <f>+$B$31*E31</f>
        <v>0</v>
      </c>
      <c r="K31" s="77">
        <f>+$B$31*F31</f>
        <v>0</v>
      </c>
      <c r="L31" s="77">
        <f>+$B$31*G31</f>
        <v>0</v>
      </c>
    </row>
    <row r="32" spans="1:12" hidden="1" x14ac:dyDescent="0.25">
      <c r="A32" s="62"/>
      <c r="B32" s="75"/>
      <c r="C32" s="76"/>
      <c r="D32" s="77">
        <v>0</v>
      </c>
      <c r="E32" s="77">
        <v>0</v>
      </c>
      <c r="F32" s="77">
        <v>0</v>
      </c>
      <c r="G32" s="77">
        <v>0</v>
      </c>
      <c r="H32" s="77">
        <f>+$B$32*C32</f>
        <v>0</v>
      </c>
      <c r="I32" s="77">
        <f>+$B$32*D32</f>
        <v>0</v>
      </c>
      <c r="J32" s="77">
        <f>+$B$32*E32</f>
        <v>0</v>
      </c>
      <c r="K32" s="77">
        <f>+$B$32*F32</f>
        <v>0</v>
      </c>
      <c r="L32" s="77">
        <f>+$B$32*G32</f>
        <v>0</v>
      </c>
    </row>
    <row r="33" spans="1:12" hidden="1" x14ac:dyDescent="0.25">
      <c r="A33" s="62"/>
      <c r="B33" s="75"/>
      <c r="C33" s="76"/>
      <c r="D33" s="77">
        <v>0</v>
      </c>
      <c r="E33" s="77">
        <v>0</v>
      </c>
      <c r="F33" s="77">
        <v>0</v>
      </c>
      <c r="G33" s="77">
        <v>0</v>
      </c>
      <c r="H33" s="77">
        <f>+$B$33*C33</f>
        <v>0</v>
      </c>
      <c r="I33" s="77">
        <f>+$B$33*D33</f>
        <v>0</v>
      </c>
      <c r="J33" s="77">
        <f>+$B$33*E33</f>
        <v>0</v>
      </c>
      <c r="K33" s="77">
        <f>+$B$33*F33</f>
        <v>0</v>
      </c>
      <c r="L33" s="77">
        <f>+$B$33*G33</f>
        <v>0</v>
      </c>
    </row>
    <row r="34" spans="1:12" hidden="1" x14ac:dyDescent="0.25">
      <c r="A34" s="62"/>
      <c r="B34" s="75"/>
      <c r="C34" s="76"/>
      <c r="D34" s="77">
        <v>0</v>
      </c>
      <c r="E34" s="77">
        <v>0</v>
      </c>
      <c r="F34" s="77">
        <v>0</v>
      </c>
      <c r="G34" s="77">
        <v>0</v>
      </c>
      <c r="H34" s="77">
        <f>+$B$34*C34</f>
        <v>0</v>
      </c>
      <c r="I34" s="77">
        <f>+$B$34*D34</f>
        <v>0</v>
      </c>
      <c r="J34" s="77">
        <f>+$B$34*E34</f>
        <v>0</v>
      </c>
      <c r="K34" s="77">
        <f>+$B$34*F34</f>
        <v>0</v>
      </c>
      <c r="L34" s="77">
        <f>+$B$34*G34</f>
        <v>0</v>
      </c>
    </row>
    <row r="35" spans="1:12" ht="15.75" hidden="1" thickBot="1" x14ac:dyDescent="0.3">
      <c r="A35" s="62"/>
      <c r="B35" s="75"/>
      <c r="C35" s="76"/>
      <c r="D35" s="77">
        <v>0</v>
      </c>
      <c r="E35" s="77">
        <v>0</v>
      </c>
      <c r="F35" s="77">
        <v>0</v>
      </c>
      <c r="G35" s="77">
        <v>0</v>
      </c>
      <c r="H35" s="77">
        <f>+$B$35*C35</f>
        <v>0</v>
      </c>
      <c r="I35" s="77">
        <f>+$B$35*D35</f>
        <v>0</v>
      </c>
      <c r="J35" s="77">
        <f>+$B$35*E35</f>
        <v>0</v>
      </c>
      <c r="K35" s="77">
        <f>+$B$35*F35</f>
        <v>0</v>
      </c>
      <c r="L35" s="77">
        <f>+$B$35*G35</f>
        <v>0</v>
      </c>
    </row>
    <row r="36" spans="1:12" x14ac:dyDescent="0.25">
      <c r="A36" s="360" t="s">
        <v>94</v>
      </c>
      <c r="B36" s="361"/>
      <c r="C36" s="78">
        <f t="shared" ref="C36:L36" si="2">SUM(C26:C35)</f>
        <v>400000</v>
      </c>
      <c r="D36" s="78">
        <f t="shared" si="2"/>
        <v>426760</v>
      </c>
      <c r="E36" s="78">
        <f t="shared" si="2"/>
        <v>455310.24400000001</v>
      </c>
      <c r="F36" s="78">
        <f t="shared" si="2"/>
        <v>485770.49932360003</v>
      </c>
      <c r="G36" s="78">
        <f t="shared" si="2"/>
        <v>518268.54572834889</v>
      </c>
      <c r="H36" s="66">
        <f t="shared" si="2"/>
        <v>400000</v>
      </c>
      <c r="I36" s="66">
        <f t="shared" si="2"/>
        <v>426760</v>
      </c>
      <c r="J36" s="66">
        <f t="shared" si="2"/>
        <v>455310.24400000001</v>
      </c>
      <c r="K36" s="66">
        <f t="shared" si="2"/>
        <v>485770.49932360003</v>
      </c>
      <c r="L36" s="66">
        <f t="shared" si="2"/>
        <v>518268.54572834889</v>
      </c>
    </row>
    <row r="37" spans="1:12" x14ac:dyDescent="0.25">
      <c r="D37" s="362" t="s">
        <v>95</v>
      </c>
      <c r="E37" s="363"/>
      <c r="F37" s="363"/>
      <c r="G37" s="364"/>
      <c r="H37" s="50">
        <f>+'5. Resumen Ventas Costos'!B18</f>
        <v>500000</v>
      </c>
      <c r="I37" s="50">
        <f>+'5. Resumen Ventas Costos'!C18</f>
        <v>533450</v>
      </c>
      <c r="J37" s="50">
        <f>+'5. Resumen Ventas Costos'!D18</f>
        <v>569137.80500000005</v>
      </c>
      <c r="K37" s="50">
        <f>+'5. Resumen Ventas Costos'!E18</f>
        <v>607213.12415450008</v>
      </c>
      <c r="L37" s="50">
        <f>+'5. Resumen Ventas Costos'!F18</f>
        <v>647835.68216043618</v>
      </c>
    </row>
    <row r="38" spans="1:12" x14ac:dyDescent="0.25">
      <c r="D38" s="355" t="s">
        <v>96</v>
      </c>
      <c r="E38" s="356"/>
      <c r="F38" s="356"/>
      <c r="G38" s="357"/>
      <c r="H38" s="65">
        <f>+H37-H36</f>
        <v>100000</v>
      </c>
      <c r="I38" s="65">
        <f>+I37-I36</f>
        <v>106690</v>
      </c>
      <c r="J38" s="65">
        <f>+J37-J36</f>
        <v>113827.56100000005</v>
      </c>
      <c r="K38" s="65">
        <f>+K37-K36</f>
        <v>121442.62483090005</v>
      </c>
      <c r="L38" s="65">
        <f>+L37-L36</f>
        <v>129567.13643208728</v>
      </c>
    </row>
    <row r="39" spans="1:12" x14ac:dyDescent="0.25">
      <c r="D39" s="355" t="s">
        <v>97</v>
      </c>
      <c r="E39" s="356"/>
      <c r="F39" s="356"/>
      <c r="G39" s="357"/>
      <c r="H39" s="358" t="str">
        <f>+IF(H38&lt;=0,"El análisis de precio de costo unitario para este producto o servicio visualiza PÉRDIDA","El análisis del precio de costo unitario para este producto o servicio visualiza UTILIDAD")</f>
        <v>El análisis del precio de costo unitario para este producto o servicio visualiza UTILIDAD</v>
      </c>
      <c r="I39" s="358"/>
      <c r="J39" s="358"/>
      <c r="K39" s="358"/>
      <c r="L39" s="358"/>
    </row>
    <row r="42" spans="1:12" x14ac:dyDescent="0.25">
      <c r="A42" s="70" t="s">
        <v>99</v>
      </c>
      <c r="B42" s="359" t="str">
        <f>+'2. Mercado'!A7</f>
        <v>Memoria RAM (DDR5 2x16gb)</v>
      </c>
      <c r="C42" s="359"/>
      <c r="D42" s="359"/>
    </row>
    <row r="43" spans="1:12" ht="35.25" customHeight="1" x14ac:dyDescent="0.25">
      <c r="A43" s="71" t="s">
        <v>82</v>
      </c>
      <c r="B43" s="72" t="s">
        <v>83</v>
      </c>
      <c r="C43" s="73" t="s">
        <v>84</v>
      </c>
      <c r="D43" s="73" t="s">
        <v>85</v>
      </c>
      <c r="E43" s="73" t="s">
        <v>86</v>
      </c>
      <c r="F43" s="73" t="s">
        <v>87</v>
      </c>
      <c r="G43" s="73" t="s">
        <v>88</v>
      </c>
      <c r="H43" s="74" t="s">
        <v>89</v>
      </c>
      <c r="I43" s="74" t="s">
        <v>90</v>
      </c>
      <c r="J43" s="74" t="s">
        <v>91</v>
      </c>
      <c r="K43" s="74" t="s">
        <v>92</v>
      </c>
      <c r="L43" s="74" t="s">
        <v>93</v>
      </c>
    </row>
    <row r="44" spans="1:12" x14ac:dyDescent="0.25">
      <c r="A44" s="17" t="s">
        <v>555</v>
      </c>
      <c r="B44" s="67">
        <v>1</v>
      </c>
      <c r="C44" s="63">
        <v>700000</v>
      </c>
      <c r="D44" s="55">
        <f>(C44*DI!$B$7)+C44</f>
        <v>746830</v>
      </c>
      <c r="E44" s="55">
        <f>(D44*DI!$B$7)+D44</f>
        <v>796792.92700000003</v>
      </c>
      <c r="F44" s="55">
        <f>(E44*DI!$B$7)+E44</f>
        <v>850098.37381630007</v>
      </c>
      <c r="G44" s="55">
        <f>(F44*DI!$B$7)+F44</f>
        <v>906969.95502461051</v>
      </c>
      <c r="H44" s="77">
        <f>+$B$44*C44</f>
        <v>700000</v>
      </c>
      <c r="I44" s="77">
        <f>+$B$44*D44</f>
        <v>746830</v>
      </c>
      <c r="J44" s="77">
        <f>+$B$44*E44</f>
        <v>796792.92700000003</v>
      </c>
      <c r="K44" s="77">
        <f>+$B$44*F44</f>
        <v>850098.37381630007</v>
      </c>
      <c r="L44" s="77">
        <f>+$B$44*G44</f>
        <v>906969.95502461051</v>
      </c>
    </row>
    <row r="45" spans="1:12" x14ac:dyDescent="0.25">
      <c r="A45" s="17"/>
      <c r="B45" s="67"/>
      <c r="C45" s="63"/>
      <c r="D45" s="55">
        <f>(C45*DI!$B$7)+C45</f>
        <v>0</v>
      </c>
      <c r="E45" s="55">
        <f>(D45*DI!$B$7)+D45</f>
        <v>0</v>
      </c>
      <c r="F45" s="55">
        <f>(E45*DI!$B$7)+E45</f>
        <v>0</v>
      </c>
      <c r="G45" s="55">
        <f>(F45*DI!$B$7)+F45</f>
        <v>0</v>
      </c>
      <c r="H45" s="77">
        <f>+$B$45*C45</f>
        <v>0</v>
      </c>
      <c r="I45" s="77">
        <f>+$B$45*D45</f>
        <v>0</v>
      </c>
      <c r="J45" s="77">
        <f>+$B$45*E45</f>
        <v>0</v>
      </c>
      <c r="K45" s="77">
        <f>+$B$45*F45</f>
        <v>0</v>
      </c>
      <c r="L45" s="77">
        <f>+$B$45*G45</f>
        <v>0</v>
      </c>
    </row>
    <row r="46" spans="1:12" hidden="1" x14ac:dyDescent="0.25">
      <c r="A46" s="17"/>
      <c r="B46" s="67"/>
      <c r="C46" s="63"/>
      <c r="D46" s="55">
        <f>(C46*DI!$B$7)+C46</f>
        <v>0</v>
      </c>
      <c r="E46" s="55">
        <f>(D46*DI!$B$7)+D46</f>
        <v>0</v>
      </c>
      <c r="F46" s="55">
        <f>(E46*DI!$B$7)+E46</f>
        <v>0</v>
      </c>
      <c r="G46" s="55">
        <f>(F46*DI!$B$7)+F46</f>
        <v>0</v>
      </c>
      <c r="H46" s="77">
        <f>+$B$46*C46</f>
        <v>0</v>
      </c>
      <c r="I46" s="77">
        <f>+$B$46*D46</f>
        <v>0</v>
      </c>
      <c r="J46" s="77">
        <f>+$B$46*E46</f>
        <v>0</v>
      </c>
      <c r="K46" s="77">
        <f>+$B$46*F46</f>
        <v>0</v>
      </c>
      <c r="L46" s="77">
        <f>+$B$46*G46</f>
        <v>0</v>
      </c>
    </row>
    <row r="47" spans="1:12" ht="15.75" thickBot="1" x14ac:dyDescent="0.3">
      <c r="A47" s="20" t="str">
        <f>+CONCATENATE(DI!$D$25,DI!D5)</f>
        <v>Otros Costos Variables Unitarios para  Memoria RAM (DDR5 2x16gb)</v>
      </c>
      <c r="B47" s="83">
        <v>1</v>
      </c>
      <c r="C47" s="63"/>
      <c r="D47" s="55">
        <f>(C47*DI!$B$7)+C47</f>
        <v>0</v>
      </c>
      <c r="E47" s="55">
        <f>(D47*DI!$B$7)+D47</f>
        <v>0</v>
      </c>
      <c r="F47" s="55">
        <f>(E47*DI!$B$7)+E47</f>
        <v>0</v>
      </c>
      <c r="G47" s="55">
        <f>(F47*DI!$B$7)+F47</f>
        <v>0</v>
      </c>
      <c r="H47" s="77">
        <f>+$B$47*C47</f>
        <v>0</v>
      </c>
      <c r="I47" s="77">
        <f>+$B$47*D47</f>
        <v>0</v>
      </c>
      <c r="J47" s="77">
        <f>+$B$47*E47</f>
        <v>0</v>
      </c>
      <c r="K47" s="77">
        <f>+$B$47*F47</f>
        <v>0</v>
      </c>
      <c r="L47" s="77">
        <f>+$B$47*G47</f>
        <v>0</v>
      </c>
    </row>
    <row r="48" spans="1:12" hidden="1" x14ac:dyDescent="0.25">
      <c r="A48" s="62"/>
      <c r="B48" s="75"/>
      <c r="C48" s="76"/>
      <c r="D48" s="77">
        <v>0</v>
      </c>
      <c r="E48" s="77">
        <v>0</v>
      </c>
      <c r="F48" s="77">
        <v>0</v>
      </c>
      <c r="G48" s="77">
        <v>0</v>
      </c>
      <c r="H48" s="77">
        <f>+$B$48*C48</f>
        <v>0</v>
      </c>
      <c r="I48" s="77">
        <f>+$B$48*D48</f>
        <v>0</v>
      </c>
      <c r="J48" s="77">
        <f>+$B$48*E48</f>
        <v>0</v>
      </c>
      <c r="K48" s="77">
        <f>+$B$48*F48</f>
        <v>0</v>
      </c>
      <c r="L48" s="77">
        <f>+$B$48*G48</f>
        <v>0</v>
      </c>
    </row>
    <row r="49" spans="1:12" hidden="1" x14ac:dyDescent="0.25">
      <c r="A49" s="62"/>
      <c r="B49" s="75"/>
      <c r="C49" s="76"/>
      <c r="D49" s="77">
        <v>0</v>
      </c>
      <c r="E49" s="77">
        <v>0</v>
      </c>
      <c r="F49" s="77">
        <v>0</v>
      </c>
      <c r="G49" s="77">
        <v>0</v>
      </c>
      <c r="H49" s="77">
        <f>+$B$49*C49</f>
        <v>0</v>
      </c>
      <c r="I49" s="77">
        <f>+$B$49*D49</f>
        <v>0</v>
      </c>
      <c r="J49" s="77">
        <f>+$B$49*E49</f>
        <v>0</v>
      </c>
      <c r="K49" s="77">
        <f>+$B$49*F49</f>
        <v>0</v>
      </c>
      <c r="L49" s="77">
        <f>+$B$49*G49</f>
        <v>0</v>
      </c>
    </row>
    <row r="50" spans="1:12" hidden="1" x14ac:dyDescent="0.25">
      <c r="A50" s="62"/>
      <c r="B50" s="75"/>
      <c r="C50" s="76"/>
      <c r="D50" s="77">
        <v>0</v>
      </c>
      <c r="E50" s="77">
        <v>0</v>
      </c>
      <c r="F50" s="77">
        <v>0</v>
      </c>
      <c r="G50" s="77">
        <v>0</v>
      </c>
      <c r="H50" s="77">
        <f>+$B$50*C50</f>
        <v>0</v>
      </c>
      <c r="I50" s="77">
        <f>+$B$50*D50</f>
        <v>0</v>
      </c>
      <c r="J50" s="77">
        <f>+$B$50*E50</f>
        <v>0</v>
      </c>
      <c r="K50" s="77">
        <f>+$B$50*F50</f>
        <v>0</v>
      </c>
      <c r="L50" s="77">
        <f>+$B$50*G50</f>
        <v>0</v>
      </c>
    </row>
    <row r="51" spans="1:12" hidden="1" x14ac:dyDescent="0.25">
      <c r="A51" s="62"/>
      <c r="B51" s="75"/>
      <c r="C51" s="76"/>
      <c r="D51" s="77">
        <v>0</v>
      </c>
      <c r="E51" s="77">
        <v>0</v>
      </c>
      <c r="F51" s="77">
        <v>0</v>
      </c>
      <c r="G51" s="77">
        <v>0</v>
      </c>
      <c r="H51" s="77">
        <f>+$B$51*C51</f>
        <v>0</v>
      </c>
      <c r="I51" s="77">
        <f>+$B$51*D51</f>
        <v>0</v>
      </c>
      <c r="J51" s="77">
        <f>+$B$51*E51</f>
        <v>0</v>
      </c>
      <c r="K51" s="77">
        <f>+$B$51*F51</f>
        <v>0</v>
      </c>
      <c r="L51" s="77">
        <f>+$B$51*G51</f>
        <v>0</v>
      </c>
    </row>
    <row r="52" spans="1:12" hidden="1" x14ac:dyDescent="0.25">
      <c r="A52" s="62"/>
      <c r="B52" s="75"/>
      <c r="C52" s="76"/>
      <c r="D52" s="77">
        <v>0</v>
      </c>
      <c r="E52" s="77">
        <v>0</v>
      </c>
      <c r="F52" s="77">
        <v>0</v>
      </c>
      <c r="G52" s="77">
        <v>0</v>
      </c>
      <c r="H52" s="77">
        <f>+$B$52*C52</f>
        <v>0</v>
      </c>
      <c r="I52" s="77">
        <f>+$B$52*D52</f>
        <v>0</v>
      </c>
      <c r="J52" s="77">
        <f>+$B$52*E52</f>
        <v>0</v>
      </c>
      <c r="K52" s="77">
        <f>+$B$52*F52</f>
        <v>0</v>
      </c>
      <c r="L52" s="77">
        <f>+$B$52*G52</f>
        <v>0</v>
      </c>
    </row>
    <row r="53" spans="1:12" ht="15.75" hidden="1" thickBot="1" x14ac:dyDescent="0.3">
      <c r="A53" s="62"/>
      <c r="B53" s="75"/>
      <c r="C53" s="76"/>
      <c r="D53" s="77">
        <v>0</v>
      </c>
      <c r="E53" s="77">
        <v>0</v>
      </c>
      <c r="F53" s="77">
        <v>0</v>
      </c>
      <c r="G53" s="77">
        <v>0</v>
      </c>
      <c r="H53" s="77">
        <f>+$B$53*C53</f>
        <v>0</v>
      </c>
      <c r="I53" s="77">
        <f>+$B$53*D53</f>
        <v>0</v>
      </c>
      <c r="J53" s="77">
        <f>+$B$53*E53</f>
        <v>0</v>
      </c>
      <c r="K53" s="77">
        <f>+$B$53*F53</f>
        <v>0</v>
      </c>
      <c r="L53" s="77">
        <f>+$B$53*G53</f>
        <v>0</v>
      </c>
    </row>
    <row r="54" spans="1:12" x14ac:dyDescent="0.25">
      <c r="A54" s="360" t="s">
        <v>94</v>
      </c>
      <c r="B54" s="361"/>
      <c r="C54" s="78">
        <f t="shared" ref="C54:L54" si="3">SUM(C44:C53)</f>
        <v>700000</v>
      </c>
      <c r="D54" s="78">
        <f t="shared" si="3"/>
        <v>746830</v>
      </c>
      <c r="E54" s="78">
        <f t="shared" si="3"/>
        <v>796792.92700000003</v>
      </c>
      <c r="F54" s="78">
        <f t="shared" si="3"/>
        <v>850098.37381630007</v>
      </c>
      <c r="G54" s="78">
        <f t="shared" si="3"/>
        <v>906969.95502461051</v>
      </c>
      <c r="H54" s="66">
        <f t="shared" si="3"/>
        <v>700000</v>
      </c>
      <c r="I54" s="66">
        <f t="shared" si="3"/>
        <v>746830</v>
      </c>
      <c r="J54" s="66">
        <f t="shared" si="3"/>
        <v>796792.92700000003</v>
      </c>
      <c r="K54" s="66">
        <f t="shared" si="3"/>
        <v>850098.37381630007</v>
      </c>
      <c r="L54" s="66">
        <f t="shared" si="3"/>
        <v>906969.95502461051</v>
      </c>
    </row>
    <row r="55" spans="1:12" x14ac:dyDescent="0.25">
      <c r="D55" s="362" t="s">
        <v>95</v>
      </c>
      <c r="E55" s="363"/>
      <c r="F55" s="363"/>
      <c r="G55" s="364"/>
      <c r="H55" s="50">
        <f>+'5. Resumen Ventas Costos'!B19</f>
        <v>795000</v>
      </c>
      <c r="I55" s="50">
        <f>+'5. Resumen Ventas Costos'!C19</f>
        <v>848185.5</v>
      </c>
      <c r="J55" s="50">
        <f>+'5. Resumen Ventas Costos'!D19</f>
        <v>904929.10994999995</v>
      </c>
      <c r="K55" s="50">
        <f>+'5. Resumen Ventas Costos'!E19</f>
        <v>965468.86740565498</v>
      </c>
      <c r="L55" s="50">
        <f>+'5. Resumen Ventas Costos'!F19</f>
        <v>1030058.7346350932</v>
      </c>
    </row>
    <row r="56" spans="1:12" x14ac:dyDescent="0.25">
      <c r="D56" s="355" t="s">
        <v>96</v>
      </c>
      <c r="E56" s="356"/>
      <c r="F56" s="356"/>
      <c r="G56" s="357"/>
      <c r="H56" s="65">
        <f>+H55-H54</f>
        <v>95000</v>
      </c>
      <c r="I56" s="65">
        <f>+I55-I54</f>
        <v>101355.5</v>
      </c>
      <c r="J56" s="65">
        <f>+J55-J54</f>
        <v>108136.18294999993</v>
      </c>
      <c r="K56" s="65">
        <f>+K55-K54</f>
        <v>115370.49358935491</v>
      </c>
      <c r="L56" s="65">
        <f>+L55-L54</f>
        <v>123088.77961048274</v>
      </c>
    </row>
    <row r="57" spans="1:12" x14ac:dyDescent="0.25">
      <c r="D57" s="355" t="s">
        <v>97</v>
      </c>
      <c r="E57" s="356"/>
      <c r="F57" s="356"/>
      <c r="G57" s="357"/>
      <c r="H57" s="358" t="str">
        <f>+IF(H56&lt;=0,"El análisis de precio de costo unitario para este producto o servicio visualiza PÉRDIDA","El análisis del precio de costo unitario para este producto o servicio visualiza UTILIDAD")</f>
        <v>El análisis del precio de costo unitario para este producto o servicio visualiza UTILIDAD</v>
      </c>
      <c r="I57" s="358"/>
      <c r="J57" s="358"/>
      <c r="K57" s="358"/>
      <c r="L57" s="358"/>
    </row>
    <row r="60" spans="1:12" x14ac:dyDescent="0.25">
      <c r="A60" s="70" t="s">
        <v>100</v>
      </c>
      <c r="B60" s="359" t="str">
        <f>+'2. Mercado'!A8</f>
        <v>Tarjeta grafica (4060)</v>
      </c>
      <c r="C60" s="359"/>
      <c r="D60" s="359"/>
    </row>
    <row r="61" spans="1:12" ht="35.25" customHeight="1" x14ac:dyDescent="0.25">
      <c r="A61" s="71" t="s">
        <v>82</v>
      </c>
      <c r="B61" s="72" t="s">
        <v>83</v>
      </c>
      <c r="C61" s="73" t="s">
        <v>84</v>
      </c>
      <c r="D61" s="73" t="s">
        <v>85</v>
      </c>
      <c r="E61" s="73" t="s">
        <v>86</v>
      </c>
      <c r="F61" s="73" t="s">
        <v>87</v>
      </c>
      <c r="G61" s="73" t="s">
        <v>88</v>
      </c>
      <c r="H61" s="74" t="s">
        <v>89</v>
      </c>
      <c r="I61" s="74" t="s">
        <v>90</v>
      </c>
      <c r="J61" s="74" t="s">
        <v>91</v>
      </c>
      <c r="K61" s="74" t="s">
        <v>92</v>
      </c>
      <c r="L61" s="74" t="s">
        <v>93</v>
      </c>
    </row>
    <row r="62" spans="1:12" x14ac:dyDescent="0.25">
      <c r="A62" s="17" t="s">
        <v>553</v>
      </c>
      <c r="B62" s="67">
        <v>1</v>
      </c>
      <c r="C62" s="63">
        <v>2000000</v>
      </c>
      <c r="D62" s="55">
        <f>(C62*DI!$B$7)+C62</f>
        <v>2133800</v>
      </c>
      <c r="E62" s="55">
        <f>(D62*DI!$B$7)+D62</f>
        <v>2276551.2200000002</v>
      </c>
      <c r="F62" s="55">
        <f>(E62*DI!$B$7)+E62</f>
        <v>2428852.4966180003</v>
      </c>
      <c r="G62" s="55">
        <f>(F62*DI!$B$7)+F62</f>
        <v>2591342.7286417447</v>
      </c>
      <c r="H62" s="77">
        <f>+$B$62*C62</f>
        <v>2000000</v>
      </c>
      <c r="I62" s="77">
        <f>+$B$62*D62</f>
        <v>2133800</v>
      </c>
      <c r="J62" s="77">
        <f>+$B$62*E62</f>
        <v>2276551.2200000002</v>
      </c>
      <c r="K62" s="77">
        <f>+$B$62*F62</f>
        <v>2428852.4966180003</v>
      </c>
      <c r="L62" s="77">
        <f>+$B$62*G62</f>
        <v>2591342.7286417447</v>
      </c>
    </row>
    <row r="63" spans="1:12" x14ac:dyDescent="0.25">
      <c r="A63" s="17"/>
      <c r="B63" s="67"/>
      <c r="C63" s="63"/>
      <c r="D63" s="55">
        <f>(C63*DI!$B$7)+C63</f>
        <v>0</v>
      </c>
      <c r="E63" s="55">
        <f>(D63*DI!$B$7)+D63</f>
        <v>0</v>
      </c>
      <c r="F63" s="55">
        <f>(E63*DI!$B$7)+E63</f>
        <v>0</v>
      </c>
      <c r="G63" s="55">
        <f>(F63*DI!$B$7)+F63</f>
        <v>0</v>
      </c>
      <c r="H63" s="77">
        <f>+$B$63*C63</f>
        <v>0</v>
      </c>
      <c r="I63" s="77">
        <f>+$B$63*D63</f>
        <v>0</v>
      </c>
      <c r="J63" s="77">
        <f>+$B$63*E63</f>
        <v>0</v>
      </c>
      <c r="K63" s="77">
        <f>+$B$63*F63</f>
        <v>0</v>
      </c>
      <c r="L63" s="77">
        <f>+$B$63*G63</f>
        <v>0</v>
      </c>
    </row>
    <row r="64" spans="1:12" hidden="1" x14ac:dyDescent="0.25">
      <c r="A64" s="17"/>
      <c r="B64" s="67"/>
      <c r="C64" s="63"/>
      <c r="D64" s="55">
        <f>(C64*DI!$B$7)+C64</f>
        <v>0</v>
      </c>
      <c r="E64" s="55">
        <f>(D64*DI!$B$7)+D64</f>
        <v>0</v>
      </c>
      <c r="F64" s="55">
        <f>(E64*DI!$B$7)+E64</f>
        <v>0</v>
      </c>
      <c r="G64" s="55">
        <f>(F64*DI!$B$7)+F64</f>
        <v>0</v>
      </c>
      <c r="H64" s="77">
        <f>+$B$64*C64</f>
        <v>0</v>
      </c>
      <c r="I64" s="77">
        <f>+$B$64*D64</f>
        <v>0</v>
      </c>
      <c r="J64" s="77">
        <f>+$B$64*E64</f>
        <v>0</v>
      </c>
      <c r="K64" s="77">
        <f>+$B$64*F64</f>
        <v>0</v>
      </c>
      <c r="L64" s="77">
        <f>+$B$64*G64</f>
        <v>0</v>
      </c>
    </row>
    <row r="65" spans="1:12" ht="15.75" thickBot="1" x14ac:dyDescent="0.3">
      <c r="A65" s="20" t="str">
        <f>+CONCATENATE(DI!$D$25,DI!D6)</f>
        <v>Otros Costos Variables Unitarios para  Tarjeta grafica (4060)</v>
      </c>
      <c r="B65" s="83">
        <v>1</v>
      </c>
      <c r="C65" s="63"/>
      <c r="D65" s="55">
        <f>(C65*DI!$B$7)+C65</f>
        <v>0</v>
      </c>
      <c r="E65" s="55">
        <f>(D65*DI!$B$7)+D65</f>
        <v>0</v>
      </c>
      <c r="F65" s="55">
        <f>(E65*DI!$B$7)+E65</f>
        <v>0</v>
      </c>
      <c r="G65" s="55">
        <f>(F65*DI!$B$7)+F65</f>
        <v>0</v>
      </c>
      <c r="H65" s="77">
        <f>+$B$65*C65</f>
        <v>0</v>
      </c>
      <c r="I65" s="77">
        <f>+$B$65*D65</f>
        <v>0</v>
      </c>
      <c r="J65" s="77">
        <f>+$B$65*E65</f>
        <v>0</v>
      </c>
      <c r="K65" s="77">
        <f>+$B$65*F65</f>
        <v>0</v>
      </c>
      <c r="L65" s="77">
        <f>+$B$65*G65</f>
        <v>0</v>
      </c>
    </row>
    <row r="66" spans="1:12" hidden="1" x14ac:dyDescent="0.25">
      <c r="A66" s="62"/>
      <c r="B66" s="75"/>
      <c r="C66" s="76"/>
      <c r="D66" s="77">
        <v>0</v>
      </c>
      <c r="E66" s="77">
        <v>0</v>
      </c>
      <c r="F66" s="77">
        <v>0</v>
      </c>
      <c r="G66" s="77">
        <v>0</v>
      </c>
      <c r="H66" s="77">
        <f>+$B$66*C66</f>
        <v>0</v>
      </c>
      <c r="I66" s="77">
        <f>+$B$66*D66</f>
        <v>0</v>
      </c>
      <c r="J66" s="77">
        <f>+$B$66*E66</f>
        <v>0</v>
      </c>
      <c r="K66" s="77">
        <f>+$B$66*F66</f>
        <v>0</v>
      </c>
      <c r="L66" s="77">
        <f>+$B$66*G66</f>
        <v>0</v>
      </c>
    </row>
    <row r="67" spans="1:12" hidden="1" x14ac:dyDescent="0.25">
      <c r="A67" s="62"/>
      <c r="B67" s="75"/>
      <c r="C67" s="76"/>
      <c r="D67" s="77">
        <v>0</v>
      </c>
      <c r="E67" s="77">
        <v>0</v>
      </c>
      <c r="F67" s="77">
        <v>0</v>
      </c>
      <c r="G67" s="77">
        <v>0</v>
      </c>
      <c r="H67" s="77">
        <f>+$B$67*C67</f>
        <v>0</v>
      </c>
      <c r="I67" s="77">
        <f>+$B$67*D67</f>
        <v>0</v>
      </c>
      <c r="J67" s="77">
        <f>+$B$67*E67</f>
        <v>0</v>
      </c>
      <c r="K67" s="77">
        <f>+$B$67*F67</f>
        <v>0</v>
      </c>
      <c r="L67" s="77">
        <f>+$B$67*G67</f>
        <v>0</v>
      </c>
    </row>
    <row r="68" spans="1:12" hidden="1" x14ac:dyDescent="0.25">
      <c r="A68" s="62"/>
      <c r="B68" s="75"/>
      <c r="C68" s="76"/>
      <c r="D68" s="77">
        <v>0</v>
      </c>
      <c r="E68" s="77">
        <v>0</v>
      </c>
      <c r="F68" s="77">
        <v>0</v>
      </c>
      <c r="G68" s="77">
        <v>0</v>
      </c>
      <c r="H68" s="77">
        <f>+$B$68*C68</f>
        <v>0</v>
      </c>
      <c r="I68" s="77">
        <f>+$B$68*D68</f>
        <v>0</v>
      </c>
      <c r="J68" s="77">
        <f>+$B$68*E68</f>
        <v>0</v>
      </c>
      <c r="K68" s="77">
        <f>+$B$68*F68</f>
        <v>0</v>
      </c>
      <c r="L68" s="77">
        <f>+$B$68*G68</f>
        <v>0</v>
      </c>
    </row>
    <row r="69" spans="1:12" hidden="1" x14ac:dyDescent="0.25">
      <c r="A69" s="62"/>
      <c r="B69" s="75"/>
      <c r="C69" s="76"/>
      <c r="D69" s="77">
        <v>0</v>
      </c>
      <c r="E69" s="77">
        <v>0</v>
      </c>
      <c r="F69" s="77">
        <v>0</v>
      </c>
      <c r="G69" s="77">
        <v>0</v>
      </c>
      <c r="H69" s="77">
        <f>+$B$69*C69</f>
        <v>0</v>
      </c>
      <c r="I69" s="77">
        <f>+$B$69*D69</f>
        <v>0</v>
      </c>
      <c r="J69" s="77">
        <f>+$B$69*E69</f>
        <v>0</v>
      </c>
      <c r="K69" s="77">
        <f>+$B$69*F69</f>
        <v>0</v>
      </c>
      <c r="L69" s="77">
        <f>+$B$69*G69</f>
        <v>0</v>
      </c>
    </row>
    <row r="70" spans="1:12" hidden="1" x14ac:dyDescent="0.25">
      <c r="A70" s="62"/>
      <c r="B70" s="75"/>
      <c r="C70" s="76"/>
      <c r="D70" s="77">
        <v>0</v>
      </c>
      <c r="E70" s="77">
        <v>0</v>
      </c>
      <c r="F70" s="77">
        <v>0</v>
      </c>
      <c r="G70" s="77">
        <v>0</v>
      </c>
      <c r="H70" s="77">
        <f>+$B$70*C70</f>
        <v>0</v>
      </c>
      <c r="I70" s="77">
        <f>+$B$70*D70</f>
        <v>0</v>
      </c>
      <c r="J70" s="77">
        <f>+$B$70*E70</f>
        <v>0</v>
      </c>
      <c r="K70" s="77">
        <f>+$B$70*F70</f>
        <v>0</v>
      </c>
      <c r="L70" s="77">
        <f>+$B$70*G70</f>
        <v>0</v>
      </c>
    </row>
    <row r="71" spans="1:12" ht="15.75" hidden="1" thickBot="1" x14ac:dyDescent="0.3">
      <c r="A71" s="62"/>
      <c r="B71" s="75"/>
      <c r="C71" s="76"/>
      <c r="D71" s="77">
        <v>0</v>
      </c>
      <c r="E71" s="77">
        <v>0</v>
      </c>
      <c r="F71" s="77">
        <v>0</v>
      </c>
      <c r="G71" s="77">
        <v>0</v>
      </c>
      <c r="H71" s="77">
        <f>+$B$71*C71</f>
        <v>0</v>
      </c>
      <c r="I71" s="77">
        <f>+$B$71*D71</f>
        <v>0</v>
      </c>
      <c r="J71" s="77">
        <f>+$B$71*E71</f>
        <v>0</v>
      </c>
      <c r="K71" s="77">
        <f>+$B$71*F71</f>
        <v>0</v>
      </c>
      <c r="L71" s="77">
        <f>+$B$71*G71</f>
        <v>0</v>
      </c>
    </row>
    <row r="72" spans="1:12" x14ac:dyDescent="0.25">
      <c r="A72" s="360" t="s">
        <v>94</v>
      </c>
      <c r="B72" s="361"/>
      <c r="C72" s="80">
        <f t="shared" ref="C72:L72" si="4">SUM(C62:C71)</f>
        <v>2000000</v>
      </c>
      <c r="D72" s="78">
        <f t="shared" si="4"/>
        <v>2133800</v>
      </c>
      <c r="E72" s="78">
        <f t="shared" si="4"/>
        <v>2276551.2200000002</v>
      </c>
      <c r="F72" s="78">
        <f t="shared" si="4"/>
        <v>2428852.4966180003</v>
      </c>
      <c r="G72" s="78">
        <f t="shared" si="4"/>
        <v>2591342.7286417447</v>
      </c>
      <c r="H72" s="66">
        <f t="shared" si="4"/>
        <v>2000000</v>
      </c>
      <c r="I72" s="66">
        <f t="shared" si="4"/>
        <v>2133800</v>
      </c>
      <c r="J72" s="66">
        <f t="shared" si="4"/>
        <v>2276551.2200000002</v>
      </c>
      <c r="K72" s="66">
        <f t="shared" si="4"/>
        <v>2428852.4966180003</v>
      </c>
      <c r="L72" s="66">
        <f t="shared" si="4"/>
        <v>2591342.7286417447</v>
      </c>
    </row>
    <row r="73" spans="1:12" x14ac:dyDescent="0.25">
      <c r="D73" s="362" t="s">
        <v>95</v>
      </c>
      <c r="E73" s="363"/>
      <c r="F73" s="363"/>
      <c r="G73" s="364"/>
      <c r="H73" s="50">
        <f>+'5. Resumen Ventas Costos'!B20</f>
        <v>2350000</v>
      </c>
      <c r="I73" s="50">
        <f>+'5. Resumen Ventas Costos'!C20</f>
        <v>2507215</v>
      </c>
      <c r="J73" s="50">
        <f>+'5. Resumen Ventas Costos'!D20</f>
        <v>2674947.6834999998</v>
      </c>
      <c r="K73" s="50">
        <f>+'5. Resumen Ventas Costos'!E20</f>
        <v>2853901.68352615</v>
      </c>
      <c r="L73" s="50">
        <f>+'5. Resumen Ventas Costos'!F20</f>
        <v>3044827.7061540494</v>
      </c>
    </row>
    <row r="74" spans="1:12" x14ac:dyDescent="0.25">
      <c r="D74" s="355" t="s">
        <v>96</v>
      </c>
      <c r="E74" s="356"/>
      <c r="F74" s="356"/>
      <c r="G74" s="357"/>
      <c r="H74" s="65">
        <f>+H73-H72</f>
        <v>350000</v>
      </c>
      <c r="I74" s="65">
        <f>+I73-I72</f>
        <v>373415</v>
      </c>
      <c r="J74" s="65">
        <f>+J73-J72</f>
        <v>398396.46349999961</v>
      </c>
      <c r="K74" s="65">
        <f>+K73-K72</f>
        <v>425049.18690814963</v>
      </c>
      <c r="L74" s="65">
        <f>+L73-L72</f>
        <v>453484.97751230467</v>
      </c>
    </row>
    <row r="75" spans="1:12" x14ac:dyDescent="0.25">
      <c r="D75" s="355" t="s">
        <v>97</v>
      </c>
      <c r="E75" s="356"/>
      <c r="F75" s="356"/>
      <c r="G75" s="357"/>
      <c r="H75" s="358" t="str">
        <f>+IF(H74&lt;=0,"El análisis de precio de costo unitario para este producto o servicio visualiza PÉRDIDA","El análisis del precio de costo unitario para este producto o servicio visualiza UTILIDAD")</f>
        <v>El análisis del precio de costo unitario para este producto o servicio visualiza UTILIDAD</v>
      </c>
      <c r="I75" s="358"/>
      <c r="J75" s="358"/>
      <c r="K75" s="358"/>
      <c r="L75" s="358"/>
    </row>
    <row r="78" spans="1:12" x14ac:dyDescent="0.25">
      <c r="A78" s="70" t="s">
        <v>101</v>
      </c>
      <c r="B78" s="359" t="str">
        <f>+'2. Mercado'!A9</f>
        <v>Memoria USB (64gb)</v>
      </c>
      <c r="C78" s="359"/>
      <c r="D78" s="359"/>
    </row>
    <row r="79" spans="1:12" ht="35.25" customHeight="1" x14ac:dyDescent="0.25">
      <c r="A79" s="71" t="s">
        <v>82</v>
      </c>
      <c r="B79" s="72" t="s">
        <v>83</v>
      </c>
      <c r="C79" s="73" t="s">
        <v>84</v>
      </c>
      <c r="D79" s="73" t="s">
        <v>85</v>
      </c>
      <c r="E79" s="73" t="s">
        <v>86</v>
      </c>
      <c r="F79" s="73" t="s">
        <v>87</v>
      </c>
      <c r="G79" s="73" t="s">
        <v>88</v>
      </c>
      <c r="H79" s="74" t="s">
        <v>89</v>
      </c>
      <c r="I79" s="74" t="s">
        <v>90</v>
      </c>
      <c r="J79" s="74" t="s">
        <v>91</v>
      </c>
      <c r="K79" s="74" t="s">
        <v>92</v>
      </c>
      <c r="L79" s="74" t="s">
        <v>93</v>
      </c>
    </row>
    <row r="80" spans="1:12" x14ac:dyDescent="0.25">
      <c r="A80" s="17" t="s">
        <v>553</v>
      </c>
      <c r="B80" s="67">
        <v>1</v>
      </c>
      <c r="C80" s="63">
        <v>35000</v>
      </c>
      <c r="D80" s="55">
        <f>(C80*DI!$B$7)+C80</f>
        <v>37341.5</v>
      </c>
      <c r="E80" s="55">
        <f>(D80*DI!$B$7)+D80</f>
        <v>39839.646350000003</v>
      </c>
      <c r="F80" s="55">
        <f>(E80*DI!$B$7)+E80</f>
        <v>42504.918690815</v>
      </c>
      <c r="G80" s="55">
        <f>(F80*DI!$B$7)+F80</f>
        <v>45348.497751230527</v>
      </c>
      <c r="H80" s="77">
        <f>+$B$80*C80</f>
        <v>35000</v>
      </c>
      <c r="I80" s="77">
        <f>+$B$80*D80</f>
        <v>37341.5</v>
      </c>
      <c r="J80" s="77">
        <f>+$B$80*E80</f>
        <v>39839.646350000003</v>
      </c>
      <c r="K80" s="77">
        <f>+$B$80*F80</f>
        <v>42504.918690815</v>
      </c>
      <c r="L80" s="77">
        <f>+$B$80*G80</f>
        <v>45348.497751230527</v>
      </c>
    </row>
    <row r="81" spans="1:12" x14ac:dyDescent="0.25">
      <c r="A81" s="299"/>
      <c r="B81" s="67"/>
      <c r="C81" s="63"/>
      <c r="D81" s="55">
        <f>(C81*DI!$B$7)+C81</f>
        <v>0</v>
      </c>
      <c r="E81" s="55">
        <f>(D81*DI!$B$7)+D81</f>
        <v>0</v>
      </c>
      <c r="F81" s="55">
        <f>(E81*DI!$B$7)+E81</f>
        <v>0</v>
      </c>
      <c r="G81" s="55">
        <f>(F81*DI!$B$7)+F81</f>
        <v>0</v>
      </c>
      <c r="H81" s="77">
        <f>+$B$81*C81</f>
        <v>0</v>
      </c>
      <c r="I81" s="77">
        <f>+$B$81*D81</f>
        <v>0</v>
      </c>
      <c r="J81" s="77">
        <f>+$B$81*E81</f>
        <v>0</v>
      </c>
      <c r="K81" s="77">
        <f>+$B$81*F81</f>
        <v>0</v>
      </c>
      <c r="L81" s="77">
        <f>+$B$81*G81</f>
        <v>0</v>
      </c>
    </row>
    <row r="82" spans="1:12" hidden="1" x14ac:dyDescent="0.25">
      <c r="A82" s="17"/>
      <c r="B82" s="67"/>
      <c r="C82" s="63"/>
      <c r="D82" s="55">
        <f>(C82*DI!$B$7)+C82</f>
        <v>0</v>
      </c>
      <c r="E82" s="55">
        <f>(D82*DI!$B$7)+D82</f>
        <v>0</v>
      </c>
      <c r="F82" s="55">
        <f>(E82*DI!$B$7)+E82</f>
        <v>0</v>
      </c>
      <c r="G82" s="55">
        <f>(F82*DI!$B$7)+F82</f>
        <v>0</v>
      </c>
      <c r="H82" s="77">
        <f>+$B$82*C82</f>
        <v>0</v>
      </c>
      <c r="I82" s="77">
        <f>+$B$82*D82</f>
        <v>0</v>
      </c>
      <c r="J82" s="77">
        <f>+$B$82*E82</f>
        <v>0</v>
      </c>
      <c r="K82" s="77">
        <f>+$B$82*F82</f>
        <v>0</v>
      </c>
      <c r="L82" s="77">
        <f>+$B$82*G82</f>
        <v>0</v>
      </c>
    </row>
    <row r="83" spans="1:12" ht="15.75" thickBot="1" x14ac:dyDescent="0.3">
      <c r="A83" s="20" t="str">
        <f>+CONCATENATE(DI!$D$25,DI!D7)</f>
        <v>Otros Costos Variables Unitarios para  Memoria USB (64gb)</v>
      </c>
      <c r="B83" s="83">
        <v>1</v>
      </c>
      <c r="C83" s="63"/>
      <c r="D83" s="55">
        <f>(C83*DI!$B$7)+C83</f>
        <v>0</v>
      </c>
      <c r="E83" s="55">
        <f>(D83*DI!$B$7)+D83</f>
        <v>0</v>
      </c>
      <c r="F83" s="55">
        <f>(E83*DI!$B$7)+E83</f>
        <v>0</v>
      </c>
      <c r="G83" s="55">
        <f>(F83*DI!$B$7)+F83</f>
        <v>0</v>
      </c>
      <c r="H83" s="77">
        <f>+$B$83*C83</f>
        <v>0</v>
      </c>
      <c r="I83" s="77">
        <f>+$B$83*D83</f>
        <v>0</v>
      </c>
      <c r="J83" s="77">
        <f>+$B$83*E83</f>
        <v>0</v>
      </c>
      <c r="K83" s="77">
        <f>+$B$83*F83</f>
        <v>0</v>
      </c>
      <c r="L83" s="77">
        <f>+$B$83*G83</f>
        <v>0</v>
      </c>
    </row>
    <row r="84" spans="1:12" hidden="1" x14ac:dyDescent="0.25">
      <c r="A84" s="62"/>
      <c r="B84" s="75"/>
      <c r="C84" s="76"/>
      <c r="D84" s="77">
        <v>0</v>
      </c>
      <c r="E84" s="77">
        <v>0</v>
      </c>
      <c r="F84" s="77">
        <v>0</v>
      </c>
      <c r="G84" s="77">
        <v>0</v>
      </c>
      <c r="H84" s="77">
        <f>+$B$84*C84</f>
        <v>0</v>
      </c>
      <c r="I84" s="77">
        <f>+$B$84*D84</f>
        <v>0</v>
      </c>
      <c r="J84" s="77">
        <f>+$B$84*E84</f>
        <v>0</v>
      </c>
      <c r="K84" s="77">
        <f>+$B$84*F84</f>
        <v>0</v>
      </c>
      <c r="L84" s="77">
        <f>+$B$84*G84</f>
        <v>0</v>
      </c>
    </row>
    <row r="85" spans="1:12" hidden="1" x14ac:dyDescent="0.25">
      <c r="A85" s="62"/>
      <c r="B85" s="75"/>
      <c r="C85" s="76"/>
      <c r="D85" s="77">
        <v>0</v>
      </c>
      <c r="E85" s="77">
        <v>0</v>
      </c>
      <c r="F85" s="77">
        <v>0</v>
      </c>
      <c r="G85" s="77">
        <v>0</v>
      </c>
      <c r="H85" s="77">
        <f>+$B$85*C85</f>
        <v>0</v>
      </c>
      <c r="I85" s="77">
        <f>+$B$85*D85</f>
        <v>0</v>
      </c>
      <c r="J85" s="77">
        <f>+$B$85*E85</f>
        <v>0</v>
      </c>
      <c r="K85" s="77">
        <f>+$B$85*F85</f>
        <v>0</v>
      </c>
      <c r="L85" s="77">
        <f>+$B$85*G85</f>
        <v>0</v>
      </c>
    </row>
    <row r="86" spans="1:12" hidden="1" x14ac:dyDescent="0.25">
      <c r="A86" s="62"/>
      <c r="B86" s="75"/>
      <c r="C86" s="76"/>
      <c r="D86" s="77">
        <v>0</v>
      </c>
      <c r="E86" s="77">
        <v>0</v>
      </c>
      <c r="F86" s="77">
        <v>0</v>
      </c>
      <c r="G86" s="77">
        <v>0</v>
      </c>
      <c r="H86" s="77">
        <f>+$B$86*C86</f>
        <v>0</v>
      </c>
      <c r="I86" s="77">
        <f>+$B$86*D86</f>
        <v>0</v>
      </c>
      <c r="J86" s="77">
        <f>+$B$86*E86</f>
        <v>0</v>
      </c>
      <c r="K86" s="77">
        <f>+$B$86*F86</f>
        <v>0</v>
      </c>
      <c r="L86" s="77">
        <f>+$B$86*G86</f>
        <v>0</v>
      </c>
    </row>
    <row r="87" spans="1:12" hidden="1" x14ac:dyDescent="0.25">
      <c r="A87" s="62"/>
      <c r="B87" s="75"/>
      <c r="C87" s="76"/>
      <c r="D87" s="77">
        <v>0</v>
      </c>
      <c r="E87" s="77">
        <v>0</v>
      </c>
      <c r="F87" s="77">
        <v>0</v>
      </c>
      <c r="G87" s="77">
        <v>0</v>
      </c>
      <c r="H87" s="77">
        <f>+$B$87*C87</f>
        <v>0</v>
      </c>
      <c r="I87" s="77">
        <f>+$B$87*D87</f>
        <v>0</v>
      </c>
      <c r="J87" s="77">
        <f>+$B$87*E87</f>
        <v>0</v>
      </c>
      <c r="K87" s="77">
        <f>+$B$87*F87</f>
        <v>0</v>
      </c>
      <c r="L87" s="77">
        <f>+$B$87*G87</f>
        <v>0</v>
      </c>
    </row>
    <row r="88" spans="1:12" hidden="1" x14ac:dyDescent="0.25">
      <c r="A88" s="62"/>
      <c r="B88" s="75"/>
      <c r="C88" s="76"/>
      <c r="D88" s="77">
        <v>0</v>
      </c>
      <c r="E88" s="77">
        <v>0</v>
      </c>
      <c r="F88" s="77">
        <v>0</v>
      </c>
      <c r="G88" s="77">
        <v>0</v>
      </c>
      <c r="H88" s="77">
        <f>+$B$88*C88</f>
        <v>0</v>
      </c>
      <c r="I88" s="77">
        <f>+$B$88*D88</f>
        <v>0</v>
      </c>
      <c r="J88" s="77">
        <f>+$B$88*E88</f>
        <v>0</v>
      </c>
      <c r="K88" s="77">
        <f>+$B$88*F88</f>
        <v>0</v>
      </c>
      <c r="L88" s="77">
        <f>+$B$88*G88</f>
        <v>0</v>
      </c>
    </row>
    <row r="89" spans="1:12" ht="15.75" hidden="1" thickBot="1" x14ac:dyDescent="0.3">
      <c r="A89" s="62"/>
      <c r="B89" s="75"/>
      <c r="C89" s="76"/>
      <c r="D89" s="77">
        <v>0</v>
      </c>
      <c r="E89" s="77">
        <v>0</v>
      </c>
      <c r="F89" s="77">
        <v>0</v>
      </c>
      <c r="G89" s="77">
        <v>0</v>
      </c>
      <c r="H89" s="77">
        <f>+$B$89*C89</f>
        <v>0</v>
      </c>
      <c r="I89" s="77">
        <f>+$B$89*D89</f>
        <v>0</v>
      </c>
      <c r="J89" s="77">
        <f>+$B$89*E89</f>
        <v>0</v>
      </c>
      <c r="K89" s="77">
        <f>+$B$89*F89</f>
        <v>0</v>
      </c>
      <c r="L89" s="77">
        <f>+$B$89*G89</f>
        <v>0</v>
      </c>
    </row>
    <row r="90" spans="1:12" x14ac:dyDescent="0.25">
      <c r="A90" s="360" t="s">
        <v>94</v>
      </c>
      <c r="B90" s="361"/>
      <c r="C90" s="78">
        <f t="shared" ref="C90:L90" si="5">SUM(C80:C89)</f>
        <v>35000</v>
      </c>
      <c r="D90" s="78">
        <f t="shared" si="5"/>
        <v>37341.5</v>
      </c>
      <c r="E90" s="78">
        <f t="shared" si="5"/>
        <v>39839.646350000003</v>
      </c>
      <c r="F90" s="78">
        <f t="shared" si="5"/>
        <v>42504.918690815</v>
      </c>
      <c r="G90" s="78">
        <f t="shared" si="5"/>
        <v>45348.497751230527</v>
      </c>
      <c r="H90" s="66">
        <f t="shared" si="5"/>
        <v>35000</v>
      </c>
      <c r="I90" s="66">
        <f t="shared" si="5"/>
        <v>37341.5</v>
      </c>
      <c r="J90" s="66">
        <f t="shared" si="5"/>
        <v>39839.646350000003</v>
      </c>
      <c r="K90" s="66">
        <f t="shared" si="5"/>
        <v>42504.918690815</v>
      </c>
      <c r="L90" s="66">
        <f t="shared" si="5"/>
        <v>45348.497751230527</v>
      </c>
    </row>
    <row r="91" spans="1:12" x14ac:dyDescent="0.25">
      <c r="D91" s="362" t="s">
        <v>95</v>
      </c>
      <c r="E91" s="363"/>
      <c r="F91" s="363"/>
      <c r="G91" s="364"/>
      <c r="H91" s="50">
        <f>+'5. Resumen Ventas Costos'!B21</f>
        <v>80000</v>
      </c>
      <c r="I91" s="50">
        <f>+'5. Resumen Ventas Costos'!C21</f>
        <v>85352</v>
      </c>
      <c r="J91" s="50">
        <f>+'5. Resumen Ventas Costos'!D21</f>
        <v>91062.048800000004</v>
      </c>
      <c r="K91" s="50">
        <f>+'5. Resumen Ventas Costos'!E21</f>
        <v>97154.099864720003</v>
      </c>
      <c r="L91" s="50">
        <f>+'5. Resumen Ventas Costos'!F21</f>
        <v>103653.70914566977</v>
      </c>
    </row>
    <row r="92" spans="1:12" x14ac:dyDescent="0.25">
      <c r="D92" s="355" t="s">
        <v>96</v>
      </c>
      <c r="E92" s="356"/>
      <c r="F92" s="356"/>
      <c r="G92" s="357"/>
      <c r="H92" s="65">
        <f>+H91-H90</f>
        <v>45000</v>
      </c>
      <c r="I92" s="65">
        <f>+I91-I90</f>
        <v>48010.5</v>
      </c>
      <c r="J92" s="65">
        <f>+J91-J90</f>
        <v>51222.402450000001</v>
      </c>
      <c r="K92" s="65">
        <f>+K91-K90</f>
        <v>54649.181173905003</v>
      </c>
      <c r="L92" s="65">
        <f>+L91-L90</f>
        <v>58305.21139443924</v>
      </c>
    </row>
    <row r="93" spans="1:12" x14ac:dyDescent="0.25">
      <c r="D93" s="355" t="s">
        <v>97</v>
      </c>
      <c r="E93" s="356"/>
      <c r="F93" s="356"/>
      <c r="G93" s="357"/>
      <c r="H93" s="358" t="str">
        <f>+IF(H92&lt;=0,"El análisis de precio de costo unitario para este producto o servicio visualiza PÉRDIDA","El análisis del precio de costo unitario para este producto o servicio visualiza UTILIDAD")</f>
        <v>El análisis del precio de costo unitario para este producto o servicio visualiza UTILIDAD</v>
      </c>
      <c r="I93" s="358"/>
      <c r="J93" s="358"/>
      <c r="K93" s="358"/>
      <c r="L93" s="358"/>
    </row>
  </sheetData>
  <sheetProtection algorithmName="SHA-512" hashValue="YbZK/urhpOhDFs/Ny9rI2pFjx3oQISGmUH8aegTsyPG7ZsQGUBMmxHBn6lSXThugGRYhoPQqx3Q9y7GI7543OQ==" saltValue="QjYRbRELBmgwNpk0fDgpFQ==" spinCount="100000" sheet="1" objects="1" scenarios="1"/>
  <mergeCells count="33">
    <mergeCell ref="D38:G38"/>
    <mergeCell ref="A3:L3"/>
    <mergeCell ref="A5:C5"/>
    <mergeCell ref="B7:D7"/>
    <mergeCell ref="A19:B19"/>
    <mergeCell ref="D20:G20"/>
    <mergeCell ref="D21:G21"/>
    <mergeCell ref="D22:G22"/>
    <mergeCell ref="H22:L22"/>
    <mergeCell ref="B24:D24"/>
    <mergeCell ref="A36:B36"/>
    <mergeCell ref="D37:G37"/>
    <mergeCell ref="D57:G57"/>
    <mergeCell ref="H57:L57"/>
    <mergeCell ref="B60:D60"/>
    <mergeCell ref="A72:B72"/>
    <mergeCell ref="D73:G73"/>
    <mergeCell ref="A1:P1"/>
    <mergeCell ref="D93:G93"/>
    <mergeCell ref="H93:L93"/>
    <mergeCell ref="D75:G75"/>
    <mergeCell ref="H75:L75"/>
    <mergeCell ref="B78:D78"/>
    <mergeCell ref="A90:B90"/>
    <mergeCell ref="D91:G91"/>
    <mergeCell ref="D92:G92"/>
    <mergeCell ref="D74:G74"/>
    <mergeCell ref="D39:G39"/>
    <mergeCell ref="H39:L39"/>
    <mergeCell ref="B42:D42"/>
    <mergeCell ref="A54:B54"/>
    <mergeCell ref="D55:G55"/>
    <mergeCell ref="D56:G56"/>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8C177-7C28-4AA0-8B02-5863AA8411C5}">
  <sheetPr codeName="Hoja12">
    <tabColor theme="9" tint="0.59999389629810485"/>
  </sheetPr>
  <dimension ref="A1:F85"/>
  <sheetViews>
    <sheetView showGridLines="0" topLeftCell="A75" workbookViewId="0">
      <selection sqref="A1:F1"/>
    </sheetView>
  </sheetViews>
  <sheetFormatPr baseColWidth="10" defaultColWidth="11.42578125" defaultRowHeight="15" x14ac:dyDescent="0.25"/>
  <cols>
    <col min="1" max="1" width="41.42578125" style="15" customWidth="1"/>
    <col min="2" max="6" width="18.85546875" style="15" customWidth="1"/>
    <col min="7" max="16384" width="11.42578125" style="15"/>
  </cols>
  <sheetData>
    <row r="1" spans="1:6" ht="52.5" customHeight="1" x14ac:dyDescent="0.25">
      <c r="A1" s="301" t="str">
        <f>+'Datos Aprendiz'!A1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01"/>
      <c r="C1" s="301"/>
      <c r="D1" s="301"/>
      <c r="E1" s="301"/>
      <c r="F1" s="301"/>
    </row>
    <row r="3" spans="1:6" ht="24" x14ac:dyDescent="0.25">
      <c r="A3" s="367" t="s">
        <v>79</v>
      </c>
      <c r="B3" s="367"/>
      <c r="C3" s="367"/>
      <c r="D3" s="367"/>
      <c r="E3" s="367"/>
      <c r="F3" s="367"/>
    </row>
    <row r="5" spans="1:6" x14ac:dyDescent="0.25">
      <c r="A5" s="368" t="s">
        <v>67</v>
      </c>
      <c r="B5" s="368"/>
      <c r="C5" s="368"/>
      <c r="D5" s="368"/>
      <c r="E5" s="368"/>
      <c r="F5" s="368"/>
    </row>
    <row r="6" spans="1:6" x14ac:dyDescent="0.25">
      <c r="A6" s="45" t="s">
        <v>21</v>
      </c>
      <c r="B6" s="5">
        <v>1</v>
      </c>
      <c r="C6" s="5">
        <v>2</v>
      </c>
      <c r="D6" s="5">
        <v>3</v>
      </c>
      <c r="E6" s="5">
        <v>4</v>
      </c>
      <c r="F6" s="5">
        <v>5</v>
      </c>
    </row>
    <row r="7" spans="1:6" x14ac:dyDescent="0.25">
      <c r="A7" s="46" t="str">
        <f>+'2. Mercado'!A5</f>
        <v>Servicio tecnico</v>
      </c>
      <c r="B7" s="47">
        <f>+SUM('3. Proyección Ventas'!B7:M7)</f>
        <v>343</v>
      </c>
      <c r="C7" s="47">
        <f>+SUM('3. Proyección Ventas'!B16:M16)</f>
        <v>361.86499999999995</v>
      </c>
      <c r="D7" s="47">
        <f>+SUM('3. Proyección Ventas'!B25:M25)</f>
        <v>381.76757499999991</v>
      </c>
      <c r="E7" s="47">
        <f>+SUM('3. Proyección Ventas'!B34:M34)</f>
        <v>402.76479162499987</v>
      </c>
      <c r="F7" s="47">
        <f>+SUM('3. Proyección Ventas'!B43:M43)</f>
        <v>424.91685516437491</v>
      </c>
    </row>
    <row r="8" spans="1:6" x14ac:dyDescent="0.25">
      <c r="A8" s="46" t="str">
        <f>+'2. Mercado'!A6</f>
        <v>Disco SSD (500gb)</v>
      </c>
      <c r="B8" s="47">
        <f>+SUM('3. Proyección Ventas'!B8:M8)</f>
        <v>194</v>
      </c>
      <c r="C8" s="47">
        <f>+SUM('3. Proyección Ventas'!B17:M17)</f>
        <v>204.67000000000002</v>
      </c>
      <c r="D8" s="47">
        <f>+SUM('3. Proyección Ventas'!B26:M26)</f>
        <v>215.92685</v>
      </c>
      <c r="E8" s="47">
        <f>+SUM('3. Proyección Ventas'!B35:M35)</f>
        <v>227.80282674999995</v>
      </c>
      <c r="F8" s="47">
        <f>+SUM('3. Proyección Ventas'!B44:M44)</f>
        <v>240.33198222124994</v>
      </c>
    </row>
    <row r="9" spans="1:6" x14ac:dyDescent="0.25">
      <c r="A9" s="46" t="str">
        <f>+'2. Mercado'!A7</f>
        <v>Memoria RAM (DDR5 2x16gb)</v>
      </c>
      <c r="B9" s="47">
        <f>+SUM('3. Proyección Ventas'!B9:M9)</f>
        <v>167</v>
      </c>
      <c r="C9" s="47">
        <f>+SUM('3. Proyección Ventas'!B18:M18)</f>
        <v>176.185</v>
      </c>
      <c r="D9" s="47">
        <f>+SUM('3. Proyección Ventas'!B27:M27)</f>
        <v>185.87517500000001</v>
      </c>
      <c r="E9" s="47">
        <f>+SUM('3. Proyección Ventas'!B36:M36)</f>
        <v>196.09830962499996</v>
      </c>
      <c r="F9" s="47">
        <f>+SUM('3. Proyección Ventas'!B45:M45)</f>
        <v>206.88371665437495</v>
      </c>
    </row>
    <row r="10" spans="1:6" x14ac:dyDescent="0.25">
      <c r="A10" s="46" t="str">
        <f>+'2. Mercado'!A8</f>
        <v>Tarjeta grafica (4060)</v>
      </c>
      <c r="B10" s="47">
        <f>+SUM('3. Proyección Ventas'!B10:M10)</f>
        <v>45</v>
      </c>
      <c r="C10" s="47">
        <f>+SUM('3. Proyección Ventas'!B19:M19)</f>
        <v>47.474999999999994</v>
      </c>
      <c r="D10" s="47">
        <f>+SUM('3. Proyección Ventas'!B28:M28)</f>
        <v>50.086124999999996</v>
      </c>
      <c r="E10" s="47">
        <f>+SUM('3. Proyección Ventas'!B37:M37)</f>
        <v>52.840861874999995</v>
      </c>
      <c r="F10" s="47">
        <f>+SUM('3. Proyección Ventas'!B46:M46)</f>
        <v>55.747109278124988</v>
      </c>
    </row>
    <row r="11" spans="1:6" x14ac:dyDescent="0.25">
      <c r="A11" s="46" t="str">
        <f>+'2. Mercado'!A9</f>
        <v>Memoria USB (64gb)</v>
      </c>
      <c r="B11" s="47">
        <f>+SUM('3. Proyección Ventas'!B11:M11)</f>
        <v>378</v>
      </c>
      <c r="C11" s="47">
        <f>+SUM('3. Proyección Ventas'!B20:M20)</f>
        <v>398.78999999999996</v>
      </c>
      <c r="D11" s="47">
        <f>+SUM('3. Proyección Ventas'!B29:M29)</f>
        <v>420.72344999999996</v>
      </c>
      <c r="E11" s="47">
        <f>+SUM('3. Proyección Ventas'!B38:M38)</f>
        <v>443.86323974999993</v>
      </c>
      <c r="F11" s="47">
        <f>+SUM('3. Proyección Ventas'!B47:M47)</f>
        <v>468.27571793624986</v>
      </c>
    </row>
    <row r="12" spans="1:6" x14ac:dyDescent="0.25">
      <c r="A12" s="48" t="s">
        <v>68</v>
      </c>
      <c r="B12" s="49">
        <f>SUM(B7:B11)</f>
        <v>1127</v>
      </c>
      <c r="C12" s="49">
        <f>SUM(C7:C11)</f>
        <v>1188.9850000000001</v>
      </c>
      <c r="D12" s="49">
        <f>SUM(D7:D11)</f>
        <v>1254.379175</v>
      </c>
      <c r="E12" s="49">
        <f>SUM(E7:E11)</f>
        <v>1323.3700296249997</v>
      </c>
      <c r="F12" s="49">
        <f>SUM(F7:F11)</f>
        <v>1396.1553812543748</v>
      </c>
    </row>
    <row r="15" spans="1:6" x14ac:dyDescent="0.25">
      <c r="A15" s="368" t="s">
        <v>69</v>
      </c>
      <c r="B15" s="368"/>
      <c r="C15" s="368"/>
      <c r="D15" s="368"/>
      <c r="E15" s="368"/>
      <c r="F15" s="368"/>
    </row>
    <row r="16" spans="1:6" x14ac:dyDescent="0.25">
      <c r="A16" s="45" t="s">
        <v>21</v>
      </c>
      <c r="B16" s="5">
        <v>1</v>
      </c>
      <c r="C16" s="5">
        <v>2</v>
      </c>
      <c r="D16" s="5">
        <v>3</v>
      </c>
      <c r="E16" s="5">
        <v>4</v>
      </c>
      <c r="F16" s="5">
        <v>5</v>
      </c>
    </row>
    <row r="17" spans="1:6" x14ac:dyDescent="0.25">
      <c r="A17" s="46" t="str">
        <f>+A7</f>
        <v>Servicio tecnico</v>
      </c>
      <c r="B17" s="50">
        <f>+DI!E3</f>
        <v>80000</v>
      </c>
      <c r="C17" s="50">
        <f>+DI!F3</f>
        <v>85352</v>
      </c>
      <c r="D17" s="50">
        <f>+DI!G3</f>
        <v>91062.048800000004</v>
      </c>
      <c r="E17" s="50">
        <f>+DI!H3</f>
        <v>97154.099864720003</v>
      </c>
      <c r="F17" s="50">
        <f>+DI!I3</f>
        <v>103653.70914566977</v>
      </c>
    </row>
    <row r="18" spans="1:6" x14ac:dyDescent="0.25">
      <c r="A18" s="46" t="str">
        <f>+A8</f>
        <v>Disco SSD (500gb)</v>
      </c>
      <c r="B18" s="50">
        <f>+DI!E4</f>
        <v>500000</v>
      </c>
      <c r="C18" s="50">
        <f>+DI!F4</f>
        <v>533450</v>
      </c>
      <c r="D18" s="50">
        <f>+DI!G4</f>
        <v>569137.80500000005</v>
      </c>
      <c r="E18" s="50">
        <f>+DI!H4</f>
        <v>607213.12415450008</v>
      </c>
      <c r="F18" s="50">
        <f>+DI!I4</f>
        <v>647835.68216043618</v>
      </c>
    </row>
    <row r="19" spans="1:6" x14ac:dyDescent="0.25">
      <c r="A19" s="46" t="str">
        <f>+A9</f>
        <v>Memoria RAM (DDR5 2x16gb)</v>
      </c>
      <c r="B19" s="50">
        <f>+DI!E5</f>
        <v>795000</v>
      </c>
      <c r="C19" s="50">
        <f>+DI!F5</f>
        <v>848185.5</v>
      </c>
      <c r="D19" s="50">
        <f>+DI!G5</f>
        <v>904929.10994999995</v>
      </c>
      <c r="E19" s="50">
        <f>+DI!H5</f>
        <v>965468.86740565498</v>
      </c>
      <c r="F19" s="50">
        <f>+DI!I5</f>
        <v>1030058.7346350932</v>
      </c>
    </row>
    <row r="20" spans="1:6" x14ac:dyDescent="0.25">
      <c r="A20" s="46" t="str">
        <f>+A10</f>
        <v>Tarjeta grafica (4060)</v>
      </c>
      <c r="B20" s="50">
        <f>+DI!E6</f>
        <v>2350000</v>
      </c>
      <c r="C20" s="50">
        <f>+DI!F6</f>
        <v>2507215</v>
      </c>
      <c r="D20" s="50">
        <f>+DI!G6</f>
        <v>2674947.6834999998</v>
      </c>
      <c r="E20" s="50">
        <f>+DI!H6</f>
        <v>2853901.68352615</v>
      </c>
      <c r="F20" s="50">
        <f>+DI!I6</f>
        <v>3044827.7061540494</v>
      </c>
    </row>
    <row r="21" spans="1:6" x14ac:dyDescent="0.25">
      <c r="A21" s="46" t="str">
        <f>+A11</f>
        <v>Memoria USB (64gb)</v>
      </c>
      <c r="B21" s="50">
        <f>+DI!E7</f>
        <v>80000</v>
      </c>
      <c r="C21" s="50">
        <f>+DI!F7</f>
        <v>85352</v>
      </c>
      <c r="D21" s="50">
        <f>+DI!G7</f>
        <v>91062.048800000004</v>
      </c>
      <c r="E21" s="50">
        <f>+DI!H7</f>
        <v>97154.099864720003</v>
      </c>
      <c r="F21" s="50">
        <f>+DI!I7</f>
        <v>103653.70914566977</v>
      </c>
    </row>
    <row r="22" spans="1:6" x14ac:dyDescent="0.25">
      <c r="A22" s="48" t="s">
        <v>70</v>
      </c>
      <c r="B22" s="51">
        <f>AVERAGE(B17:B21)</f>
        <v>761000</v>
      </c>
      <c r="C22" s="51">
        <f>AVERAGE(C17:C21)</f>
        <v>811910.9</v>
      </c>
      <c r="D22" s="51">
        <f>AVERAGE(D17:D21)</f>
        <v>866227.73921000003</v>
      </c>
      <c r="E22" s="51">
        <f>AVERAGE(E17:E21)</f>
        <v>924178.37496314908</v>
      </c>
      <c r="F22" s="51">
        <f>AVERAGE(F17:F21)</f>
        <v>986005.90824818367</v>
      </c>
    </row>
    <row r="23" spans="1:6" x14ac:dyDescent="0.25">
      <c r="A23" s="52"/>
      <c r="B23" s="53"/>
      <c r="C23" s="53"/>
      <c r="D23" s="53"/>
      <c r="E23" s="53"/>
      <c r="F23" s="53"/>
    </row>
    <row r="24" spans="1:6" x14ac:dyDescent="0.25">
      <c r="A24" s="52"/>
      <c r="B24" s="53"/>
      <c r="C24" s="53"/>
      <c r="D24" s="53"/>
      <c r="E24" s="53"/>
      <c r="F24" s="53"/>
    </row>
    <row r="25" spans="1:6" x14ac:dyDescent="0.25">
      <c r="A25" s="368" t="s">
        <v>71</v>
      </c>
      <c r="B25" s="368"/>
      <c r="C25" s="368"/>
      <c r="D25" s="368"/>
      <c r="E25" s="368"/>
      <c r="F25" s="368"/>
    </row>
    <row r="26" spans="1:6" x14ac:dyDescent="0.25">
      <c r="A26" s="45" t="s">
        <v>21</v>
      </c>
      <c r="B26" s="5">
        <v>1</v>
      </c>
      <c r="C26" s="5">
        <v>2</v>
      </c>
      <c r="D26" s="5">
        <v>3</v>
      </c>
      <c r="E26" s="5">
        <v>4</v>
      </c>
      <c r="F26" s="5">
        <v>5</v>
      </c>
    </row>
    <row r="27" spans="1:6" x14ac:dyDescent="0.25">
      <c r="A27" s="46" t="str">
        <f>+A17</f>
        <v>Servicio tecnico</v>
      </c>
      <c r="B27" s="50">
        <f>+'4. Costos Variables'!H19</f>
        <v>4763800</v>
      </c>
      <c r="C27" s="50">
        <f>+'4. Costos Variables'!I19</f>
        <v>5082498.22</v>
      </c>
      <c r="D27" s="50">
        <f>+'4. Costos Variables'!J19</f>
        <v>5422517.3509179996</v>
      </c>
      <c r="E27" s="50">
        <f>+'4. Costos Variables'!K19</f>
        <v>5785283.7616944136</v>
      </c>
      <c r="F27" s="50">
        <f>+'4. Costos Variables'!L19</f>
        <v>6172319.24535177</v>
      </c>
    </row>
    <row r="28" spans="1:6" x14ac:dyDescent="0.25">
      <c r="A28" s="46" t="str">
        <f>+A18</f>
        <v>Disco SSD (500gb)</v>
      </c>
      <c r="B28" s="50">
        <f>+'4. Costos Variables'!H36</f>
        <v>400000</v>
      </c>
      <c r="C28" s="50">
        <f>+'4. Costos Variables'!I36</f>
        <v>426760</v>
      </c>
      <c r="D28" s="50">
        <f>+'4. Costos Variables'!J36</f>
        <v>455310.24400000001</v>
      </c>
      <c r="E28" s="50">
        <f>+'4. Costos Variables'!K36</f>
        <v>485770.49932360003</v>
      </c>
      <c r="F28" s="50">
        <f>+'4. Costos Variables'!L36</f>
        <v>518268.54572834889</v>
      </c>
    </row>
    <row r="29" spans="1:6" x14ac:dyDescent="0.25">
      <c r="A29" s="46" t="str">
        <f>+A19</f>
        <v>Memoria RAM (DDR5 2x16gb)</v>
      </c>
      <c r="B29" s="50">
        <f>+'4. Costos Variables'!H54</f>
        <v>700000</v>
      </c>
      <c r="C29" s="50">
        <f>+'4. Costos Variables'!I54</f>
        <v>746830</v>
      </c>
      <c r="D29" s="50">
        <f>+'4. Costos Variables'!J54</f>
        <v>796792.92700000003</v>
      </c>
      <c r="E29" s="50">
        <f>+'4. Costos Variables'!K54</f>
        <v>850098.37381630007</v>
      </c>
      <c r="F29" s="50">
        <f>+'4. Costos Variables'!L54</f>
        <v>906969.95502461051</v>
      </c>
    </row>
    <row r="30" spans="1:6" x14ac:dyDescent="0.25">
      <c r="A30" s="46" t="str">
        <f>+A20</f>
        <v>Tarjeta grafica (4060)</v>
      </c>
      <c r="B30" s="50">
        <f>+'4. Costos Variables'!H72</f>
        <v>2000000</v>
      </c>
      <c r="C30" s="50">
        <f>+'4. Costos Variables'!I72</f>
        <v>2133800</v>
      </c>
      <c r="D30" s="50">
        <f>+'4. Costos Variables'!J72</f>
        <v>2276551.2200000002</v>
      </c>
      <c r="E30" s="50">
        <f>+'4. Costos Variables'!K72</f>
        <v>2428852.4966180003</v>
      </c>
      <c r="F30" s="50">
        <f>+'4. Costos Variables'!L72</f>
        <v>2591342.7286417447</v>
      </c>
    </row>
    <row r="31" spans="1:6" x14ac:dyDescent="0.25">
      <c r="A31" s="46" t="str">
        <f>+A21</f>
        <v>Memoria USB (64gb)</v>
      </c>
      <c r="B31" s="50">
        <f>+'4. Costos Variables'!H90</f>
        <v>35000</v>
      </c>
      <c r="C31" s="50">
        <f>+'4. Costos Variables'!I90</f>
        <v>37341.5</v>
      </c>
      <c r="D31" s="50">
        <f>+'4. Costos Variables'!J90</f>
        <v>39839.646350000003</v>
      </c>
      <c r="E31" s="50">
        <f>+'4. Costos Variables'!K90</f>
        <v>42504.918690815</v>
      </c>
      <c r="F31" s="50">
        <f>+'4. Costos Variables'!L90</f>
        <v>45348.497751230527</v>
      </c>
    </row>
    <row r="32" spans="1:6" x14ac:dyDescent="0.25">
      <c r="A32" s="48" t="s">
        <v>72</v>
      </c>
      <c r="B32" s="51">
        <f>AVERAGE(B27:B31)</f>
        <v>1579760</v>
      </c>
      <c r="C32" s="51">
        <f>AVERAGE(C27:C31)</f>
        <v>1685445.9439999997</v>
      </c>
      <c r="D32" s="51">
        <f>AVERAGE(D27:D31)</f>
        <v>1798202.2776535999</v>
      </c>
      <c r="E32" s="51">
        <f>AVERAGE(E27:E31)</f>
        <v>1918502.0100286261</v>
      </c>
      <c r="F32" s="51">
        <f>AVERAGE(F27:F31)</f>
        <v>2046849.7944995407</v>
      </c>
    </row>
    <row r="33" spans="1:6" x14ac:dyDescent="0.25">
      <c r="A33" s="52"/>
      <c r="B33" s="53"/>
      <c r="C33" s="53"/>
      <c r="D33" s="53"/>
      <c r="E33" s="53"/>
      <c r="F33" s="53"/>
    </row>
    <row r="35" spans="1:6" x14ac:dyDescent="0.25">
      <c r="A35" s="346" t="s">
        <v>105</v>
      </c>
      <c r="B35" s="346"/>
      <c r="C35" s="346"/>
      <c r="D35" s="346"/>
      <c r="E35" s="346"/>
      <c r="F35" s="346"/>
    </row>
    <row r="36" spans="1:6" x14ac:dyDescent="0.25">
      <c r="A36" s="45" t="s">
        <v>21</v>
      </c>
      <c r="B36" s="5">
        <v>1</v>
      </c>
      <c r="C36" s="5">
        <v>2</v>
      </c>
      <c r="D36" s="5">
        <v>3</v>
      </c>
      <c r="E36" s="5">
        <v>4</v>
      </c>
      <c r="F36" s="5">
        <v>5</v>
      </c>
    </row>
    <row r="37" spans="1:6" x14ac:dyDescent="0.25">
      <c r="A37" s="54" t="str">
        <f>+A27</f>
        <v>Servicio tecnico</v>
      </c>
      <c r="B37" s="55">
        <f>+B17-B27</f>
        <v>-4683800</v>
      </c>
      <c r="C37" s="55">
        <f>+C17-C27</f>
        <v>-4997146.22</v>
      </c>
      <c r="D37" s="55">
        <f>+D17-D27</f>
        <v>-5331455.3021179996</v>
      </c>
      <c r="E37" s="55">
        <f>+E17-E27</f>
        <v>-5688129.6618296932</v>
      </c>
      <c r="F37" s="55">
        <f>+F17-F27</f>
        <v>-6068665.5362061001</v>
      </c>
    </row>
    <row r="38" spans="1:6" x14ac:dyDescent="0.25">
      <c r="A38" s="54" t="str">
        <f>+A28</f>
        <v>Disco SSD (500gb)</v>
      </c>
      <c r="B38" s="55">
        <f t="shared" ref="B38:F41" si="0">+B18-B28</f>
        <v>100000</v>
      </c>
      <c r="C38" s="55">
        <f t="shared" si="0"/>
        <v>106690</v>
      </c>
      <c r="D38" s="55">
        <f t="shared" si="0"/>
        <v>113827.56100000005</v>
      </c>
      <c r="E38" s="55">
        <f t="shared" si="0"/>
        <v>121442.62483090005</v>
      </c>
      <c r="F38" s="55">
        <f t="shared" si="0"/>
        <v>129567.13643208728</v>
      </c>
    </row>
    <row r="39" spans="1:6" x14ac:dyDescent="0.25">
      <c r="A39" s="54" t="str">
        <f>+A29</f>
        <v>Memoria RAM (DDR5 2x16gb)</v>
      </c>
      <c r="B39" s="55">
        <f t="shared" si="0"/>
        <v>95000</v>
      </c>
      <c r="C39" s="55">
        <f t="shared" si="0"/>
        <v>101355.5</v>
      </c>
      <c r="D39" s="55">
        <f t="shared" si="0"/>
        <v>108136.18294999993</v>
      </c>
      <c r="E39" s="55">
        <f t="shared" si="0"/>
        <v>115370.49358935491</v>
      </c>
      <c r="F39" s="55">
        <f t="shared" si="0"/>
        <v>123088.77961048274</v>
      </c>
    </row>
    <row r="40" spans="1:6" x14ac:dyDescent="0.25">
      <c r="A40" s="54" t="str">
        <f>+A30</f>
        <v>Tarjeta grafica (4060)</v>
      </c>
      <c r="B40" s="55">
        <f t="shared" si="0"/>
        <v>350000</v>
      </c>
      <c r="C40" s="55">
        <f t="shared" si="0"/>
        <v>373415</v>
      </c>
      <c r="D40" s="55">
        <f t="shared" si="0"/>
        <v>398396.46349999961</v>
      </c>
      <c r="E40" s="55">
        <f t="shared" si="0"/>
        <v>425049.18690814963</v>
      </c>
      <c r="F40" s="55">
        <f t="shared" si="0"/>
        <v>453484.97751230467</v>
      </c>
    </row>
    <row r="41" spans="1:6" x14ac:dyDescent="0.25">
      <c r="A41" s="54" t="str">
        <f>+A31</f>
        <v>Memoria USB (64gb)</v>
      </c>
      <c r="B41" s="55">
        <f t="shared" si="0"/>
        <v>45000</v>
      </c>
      <c r="C41" s="55">
        <f t="shared" si="0"/>
        <v>48010.5</v>
      </c>
      <c r="D41" s="55">
        <f t="shared" si="0"/>
        <v>51222.402450000001</v>
      </c>
      <c r="E41" s="55">
        <f t="shared" si="0"/>
        <v>54649.181173905003</v>
      </c>
      <c r="F41" s="55">
        <f t="shared" si="0"/>
        <v>58305.21139443924</v>
      </c>
    </row>
    <row r="42" spans="1:6" x14ac:dyDescent="0.25">
      <c r="A42" s="34" t="s">
        <v>73</v>
      </c>
      <c r="B42" s="51">
        <f>SUM(B37:B41)</f>
        <v>-4093800</v>
      </c>
      <c r="C42" s="51">
        <f>SUM(C37:C41)</f>
        <v>-4367675.22</v>
      </c>
      <c r="D42" s="51">
        <f>SUM(D37:D41)</f>
        <v>-4659872.6922180001</v>
      </c>
      <c r="E42" s="51">
        <f>SUM(E37:E41)</f>
        <v>-4971618.1753273839</v>
      </c>
      <c r="F42" s="51">
        <f>SUM(F37:F41)</f>
        <v>-5304219.431256786</v>
      </c>
    </row>
    <row r="45" spans="1:6" x14ac:dyDescent="0.25">
      <c r="A45" s="368" t="s">
        <v>74</v>
      </c>
      <c r="B45" s="368"/>
      <c r="C45" s="368"/>
      <c r="D45" s="368"/>
      <c r="E45" s="368"/>
      <c r="F45" s="368"/>
    </row>
    <row r="46" spans="1:6" x14ac:dyDescent="0.25">
      <c r="A46" s="45" t="s">
        <v>21</v>
      </c>
      <c r="B46" s="5">
        <v>1</v>
      </c>
      <c r="C46" s="5">
        <v>2</v>
      </c>
      <c r="D46" s="5">
        <v>3</v>
      </c>
      <c r="E46" s="5">
        <v>4</v>
      </c>
      <c r="F46" s="5">
        <v>5</v>
      </c>
    </row>
    <row r="47" spans="1:6" x14ac:dyDescent="0.25">
      <c r="A47" s="56" t="str">
        <f>+A37</f>
        <v>Servicio tecnico</v>
      </c>
      <c r="B47" s="50">
        <f>+B7*B17</f>
        <v>27440000</v>
      </c>
      <c r="C47" s="50">
        <f>+C7*C17</f>
        <v>30885901.479999997</v>
      </c>
      <c r="D47" s="50">
        <f>+D7*D17</f>
        <v>34764537.544907652</v>
      </c>
      <c r="E47" s="50">
        <f>+E7*E17</f>
        <v>39130250.787528381</v>
      </c>
      <c r="F47" s="50">
        <f>+F7*F17</f>
        <v>44044208.116300806</v>
      </c>
    </row>
    <row r="48" spans="1:6" x14ac:dyDescent="0.25">
      <c r="A48" s="56" t="str">
        <f>+A38</f>
        <v>Disco SSD (500gb)</v>
      </c>
      <c r="B48" s="50">
        <f t="shared" ref="B48:F51" si="1">+B8*B18</f>
        <v>97000000</v>
      </c>
      <c r="C48" s="50">
        <f t="shared" si="1"/>
        <v>109181211.50000001</v>
      </c>
      <c r="D48" s="50">
        <f t="shared" si="1"/>
        <v>122892133.44956426</v>
      </c>
      <c r="E48" s="50">
        <f t="shared" si="1"/>
        <v>138324866.1220938</v>
      </c>
      <c r="F48" s="50">
        <f t="shared" si="1"/>
        <v>155695633.64727327</v>
      </c>
    </row>
    <row r="49" spans="1:6" x14ac:dyDescent="0.25">
      <c r="A49" s="56" t="str">
        <f>+A39</f>
        <v>Memoria RAM (DDR5 2x16gb)</v>
      </c>
      <c r="B49" s="50">
        <f t="shared" si="1"/>
        <v>132765000</v>
      </c>
      <c r="C49" s="50">
        <f t="shared" si="1"/>
        <v>149437562.3175</v>
      </c>
      <c r="D49" s="50">
        <f t="shared" si="1"/>
        <v>168203856.6745505</v>
      </c>
      <c r="E49" s="50">
        <f t="shared" si="1"/>
        <v>189326812.89381215</v>
      </c>
      <c r="F49" s="50">
        <f t="shared" si="1"/>
        <v>213102379.39361063</v>
      </c>
    </row>
    <row r="50" spans="1:6" x14ac:dyDescent="0.25">
      <c r="A50" s="56" t="str">
        <f>+A40</f>
        <v>Tarjeta grafica (4060)</v>
      </c>
      <c r="B50" s="50">
        <f t="shared" si="1"/>
        <v>105750000</v>
      </c>
      <c r="C50" s="50">
        <f t="shared" si="1"/>
        <v>119030032.12499999</v>
      </c>
      <c r="D50" s="50">
        <f t="shared" si="1"/>
        <v>133977764.04424141</v>
      </c>
      <c r="E50" s="50">
        <f t="shared" si="1"/>
        <v>150802624.66403523</v>
      </c>
      <c r="F50" s="50">
        <f t="shared" si="1"/>
        <v>169740342.86803243</v>
      </c>
    </row>
    <row r="51" spans="1:6" x14ac:dyDescent="0.25">
      <c r="A51" s="56" t="str">
        <f>+A41</f>
        <v>Memoria USB (64gb)</v>
      </c>
      <c r="B51" s="50">
        <f t="shared" si="1"/>
        <v>30240000</v>
      </c>
      <c r="C51" s="50">
        <f t="shared" si="1"/>
        <v>34037524.079999998</v>
      </c>
      <c r="D51" s="50">
        <f t="shared" si="1"/>
        <v>38311939.335204355</v>
      </c>
      <c r="E51" s="50">
        <f t="shared" si="1"/>
        <v>43123133.520949654</v>
      </c>
      <c r="F51" s="50">
        <f t="shared" si="1"/>
        <v>48538515.066943735</v>
      </c>
    </row>
    <row r="52" spans="1:6" x14ac:dyDescent="0.25">
      <c r="A52" s="48" t="s">
        <v>75</v>
      </c>
      <c r="B52" s="51">
        <f>SUM(B47:B51)</f>
        <v>393195000</v>
      </c>
      <c r="C52" s="51">
        <f>SUM(C47:C51)</f>
        <v>442572231.5025</v>
      </c>
      <c r="D52" s="51">
        <f>SUM(D47:D51)</f>
        <v>498150231.04846823</v>
      </c>
      <c r="E52" s="51">
        <f>SUM(E47:E51)</f>
        <v>560707687.98841918</v>
      </c>
      <c r="F52" s="51">
        <f>SUM(F47:F51)</f>
        <v>631121079.09216094</v>
      </c>
    </row>
    <row r="55" spans="1:6" x14ac:dyDescent="0.25">
      <c r="A55" s="369" t="s">
        <v>76</v>
      </c>
      <c r="B55" s="369"/>
      <c r="C55" s="369"/>
      <c r="D55" s="369"/>
      <c r="E55" s="369"/>
      <c r="F55" s="369"/>
    </row>
    <row r="56" spans="1:6" x14ac:dyDescent="0.25">
      <c r="A56" s="45" t="s">
        <v>21</v>
      </c>
      <c r="B56" s="5">
        <v>1</v>
      </c>
      <c r="C56" s="5">
        <v>2</v>
      </c>
      <c r="D56" s="5">
        <v>3</v>
      </c>
      <c r="E56" s="5">
        <v>4</v>
      </c>
      <c r="F56" s="5">
        <v>5</v>
      </c>
    </row>
    <row r="57" spans="1:6" x14ac:dyDescent="0.25">
      <c r="A57" s="54" t="str">
        <f>+A47</f>
        <v>Servicio tecnico</v>
      </c>
      <c r="B57" s="55">
        <f>+B7*B27</f>
        <v>1633983400</v>
      </c>
      <c r="C57" s="55">
        <f>+C7*C27</f>
        <v>1839178218.3802996</v>
      </c>
      <c r="D57" s="55">
        <f>+D7*D27</f>
        <v>2070141299.4553883</v>
      </c>
      <c r="E57" s="55">
        <f>+E7*E27</f>
        <v>2330108608.7703457</v>
      </c>
      <c r="F57" s="55">
        <f>+F7*F27</f>
        <v>2622722482.8054218</v>
      </c>
    </row>
    <row r="58" spans="1:6" x14ac:dyDescent="0.25">
      <c r="A58" s="54" t="str">
        <f>+A48</f>
        <v>Disco SSD (500gb)</v>
      </c>
      <c r="B58" s="55">
        <f t="shared" ref="B58:F61" si="2">+B8*B28</f>
        <v>77600000</v>
      </c>
      <c r="C58" s="55">
        <f t="shared" si="2"/>
        <v>87344969.200000003</v>
      </c>
      <c r="D58" s="55">
        <f t="shared" si="2"/>
        <v>98313706.759651408</v>
      </c>
      <c r="E58" s="55">
        <f t="shared" si="2"/>
        <v>110659892.89767502</v>
      </c>
      <c r="F58" s="55">
        <f t="shared" si="2"/>
        <v>124556506.91781861</v>
      </c>
    </row>
    <row r="59" spans="1:6" x14ac:dyDescent="0.25">
      <c r="A59" s="54" t="str">
        <f>+A49</f>
        <v>Memoria RAM (DDR5 2x16gb)</v>
      </c>
      <c r="B59" s="55">
        <f t="shared" si="2"/>
        <v>116900000</v>
      </c>
      <c r="C59" s="55">
        <f t="shared" si="2"/>
        <v>131580243.55</v>
      </c>
      <c r="D59" s="55">
        <f t="shared" si="2"/>
        <v>148104024.74488723</v>
      </c>
      <c r="E59" s="55">
        <f t="shared" si="2"/>
        <v>166702854.12033775</v>
      </c>
      <c r="F59" s="55">
        <f t="shared" si="2"/>
        <v>187637315.18934271</v>
      </c>
    </row>
    <row r="60" spans="1:6" x14ac:dyDescent="0.25">
      <c r="A60" s="54" t="str">
        <f>+A50</f>
        <v>Tarjeta grafica (4060)</v>
      </c>
      <c r="B60" s="55">
        <f t="shared" si="2"/>
        <v>90000000</v>
      </c>
      <c r="C60" s="55">
        <f t="shared" si="2"/>
        <v>101302154.99999999</v>
      </c>
      <c r="D60" s="55">
        <f t="shared" si="2"/>
        <v>114023628.9738225</v>
      </c>
      <c r="E60" s="55">
        <f t="shared" si="2"/>
        <v>128342659.28854065</v>
      </c>
      <c r="F60" s="55">
        <f t="shared" si="2"/>
        <v>144459866.27066594</v>
      </c>
    </row>
    <row r="61" spans="1:6" x14ac:dyDescent="0.25">
      <c r="A61" s="54" t="str">
        <f>+A51</f>
        <v>Memoria USB (64gb)</v>
      </c>
      <c r="B61" s="55">
        <f t="shared" si="2"/>
        <v>13230000</v>
      </c>
      <c r="C61" s="55">
        <f t="shared" si="2"/>
        <v>14891416.784999998</v>
      </c>
      <c r="D61" s="55">
        <f t="shared" si="2"/>
        <v>16761473.459151907</v>
      </c>
      <c r="E61" s="55">
        <f t="shared" si="2"/>
        <v>18866370.915415473</v>
      </c>
      <c r="F61" s="55">
        <f t="shared" si="2"/>
        <v>21235600.341787886</v>
      </c>
    </row>
    <row r="62" spans="1:6" x14ac:dyDescent="0.25">
      <c r="A62" s="34" t="s">
        <v>104</v>
      </c>
      <c r="B62" s="51">
        <f>SUM(B57:B61)</f>
        <v>1931713400</v>
      </c>
      <c r="C62" s="51">
        <f>SUM(C57:C61)</f>
        <v>2174297002.9152994</v>
      </c>
      <c r="D62" s="51">
        <f>SUM(D57:D61)</f>
        <v>2447344133.3929014</v>
      </c>
      <c r="E62" s="51">
        <f>SUM(E57:E61)</f>
        <v>2754680385.9923148</v>
      </c>
      <c r="F62" s="51">
        <f>SUM(F57:F61)</f>
        <v>3100611771.5250368</v>
      </c>
    </row>
    <row r="65" spans="1:6" x14ac:dyDescent="0.25">
      <c r="A65" s="346" t="s">
        <v>127</v>
      </c>
      <c r="B65" s="346"/>
      <c r="C65" s="346"/>
      <c r="D65" s="346"/>
      <c r="E65" s="346"/>
      <c r="F65" s="346"/>
    </row>
    <row r="66" spans="1:6" x14ac:dyDescent="0.25">
      <c r="A66" s="45" t="s">
        <v>21</v>
      </c>
      <c r="B66" s="5">
        <v>1</v>
      </c>
      <c r="C66" s="5">
        <v>2</v>
      </c>
      <c r="D66" s="5">
        <v>3</v>
      </c>
      <c r="E66" s="5">
        <v>4</v>
      </c>
      <c r="F66" s="5">
        <v>5</v>
      </c>
    </row>
    <row r="67" spans="1:6" x14ac:dyDescent="0.25">
      <c r="A67" s="54" t="str">
        <f>+A57</f>
        <v>Servicio tecnico</v>
      </c>
      <c r="B67" s="55">
        <f>+B47-B57</f>
        <v>-1606543400</v>
      </c>
      <c r="C67" s="55">
        <f>+C47-C57</f>
        <v>-1808292316.9002995</v>
      </c>
      <c r="D67" s="55">
        <f>+D47-D57</f>
        <v>-2035376761.9104807</v>
      </c>
      <c r="E67" s="55">
        <f>+E47-E57</f>
        <v>-2290978357.9828172</v>
      </c>
      <c r="F67" s="55">
        <f>+F47-F57</f>
        <v>-2578678274.6891212</v>
      </c>
    </row>
    <row r="68" spans="1:6" x14ac:dyDescent="0.25">
      <c r="A68" s="54" t="str">
        <f>+A58</f>
        <v>Disco SSD (500gb)</v>
      </c>
      <c r="B68" s="55">
        <f t="shared" ref="B68:F71" si="3">+B48-B58</f>
        <v>19400000</v>
      </c>
      <c r="C68" s="55">
        <f t="shared" si="3"/>
        <v>21836242.300000012</v>
      </c>
      <c r="D68" s="55">
        <f t="shared" si="3"/>
        <v>24578426.689912856</v>
      </c>
      <c r="E68" s="55">
        <f t="shared" si="3"/>
        <v>27664973.224418774</v>
      </c>
      <c r="F68" s="55">
        <f t="shared" si="3"/>
        <v>31139126.729454666</v>
      </c>
    </row>
    <row r="69" spans="1:6" x14ac:dyDescent="0.25">
      <c r="A69" s="54" t="str">
        <f>+A59</f>
        <v>Memoria RAM (DDR5 2x16gb)</v>
      </c>
      <c r="B69" s="55">
        <f t="shared" si="3"/>
        <v>15865000</v>
      </c>
      <c r="C69" s="55">
        <f t="shared" si="3"/>
        <v>17857318.767499998</v>
      </c>
      <c r="D69" s="55">
        <f t="shared" si="3"/>
        <v>20099831.929663271</v>
      </c>
      <c r="E69" s="55">
        <f t="shared" si="3"/>
        <v>22623958.773474395</v>
      </c>
      <c r="F69" s="55">
        <f t="shared" si="3"/>
        <v>25465064.204267919</v>
      </c>
    </row>
    <row r="70" spans="1:6" x14ac:dyDescent="0.25">
      <c r="A70" s="54" t="str">
        <f>+A60</f>
        <v>Tarjeta grafica (4060)</v>
      </c>
      <c r="B70" s="55">
        <f t="shared" si="3"/>
        <v>15750000</v>
      </c>
      <c r="C70" s="55">
        <f t="shared" si="3"/>
        <v>17727877.125</v>
      </c>
      <c r="D70" s="55">
        <f t="shared" si="3"/>
        <v>19954135.070418909</v>
      </c>
      <c r="E70" s="55">
        <f t="shared" si="3"/>
        <v>22459965.375494584</v>
      </c>
      <c r="F70" s="55">
        <f t="shared" si="3"/>
        <v>25280476.597366482</v>
      </c>
    </row>
    <row r="71" spans="1:6" x14ac:dyDescent="0.25">
      <c r="A71" s="54" t="str">
        <f>+A61</f>
        <v>Memoria USB (64gb)</v>
      </c>
      <c r="B71" s="55">
        <f t="shared" si="3"/>
        <v>17010000</v>
      </c>
      <c r="C71" s="55">
        <f t="shared" si="3"/>
        <v>19146107.295000002</v>
      </c>
      <c r="D71" s="55">
        <f t="shared" si="3"/>
        <v>21550465.876052447</v>
      </c>
      <c r="E71" s="55">
        <f t="shared" si="3"/>
        <v>24256762.605534181</v>
      </c>
      <c r="F71" s="55">
        <f t="shared" si="3"/>
        <v>27302914.725155849</v>
      </c>
    </row>
    <row r="72" spans="1:6" x14ac:dyDescent="0.25">
      <c r="A72" s="34" t="s">
        <v>103</v>
      </c>
      <c r="B72" s="51">
        <f>SUM(B67:B71)</f>
        <v>-1538518400</v>
      </c>
      <c r="C72" s="51">
        <f>SUM(C67:C71)</f>
        <v>-1731724771.4127996</v>
      </c>
      <c r="D72" s="51">
        <f>SUM(D67:D71)</f>
        <v>-1949193902.3444335</v>
      </c>
      <c r="E72" s="51">
        <f>SUM(E67:E71)</f>
        <v>-2193972698.0038958</v>
      </c>
      <c r="F72" s="51">
        <f>SUM(F67:F71)</f>
        <v>-2469490692.4328766</v>
      </c>
    </row>
    <row r="75" spans="1:6" x14ac:dyDescent="0.25">
      <c r="A75" s="346" t="s">
        <v>77</v>
      </c>
      <c r="B75" s="346"/>
      <c r="C75" s="346"/>
      <c r="D75" s="346"/>
      <c r="E75" s="346"/>
      <c r="F75" s="346"/>
    </row>
    <row r="76" spans="1:6" x14ac:dyDescent="0.25">
      <c r="A76" s="45" t="s">
        <v>21</v>
      </c>
      <c r="B76" s="5">
        <v>1</v>
      </c>
      <c r="C76" s="5">
        <v>2</v>
      </c>
      <c r="D76" s="5">
        <v>3</v>
      </c>
      <c r="E76" s="5">
        <v>4</v>
      </c>
      <c r="F76" s="5">
        <v>5</v>
      </c>
    </row>
    <row r="77" spans="1:6" x14ac:dyDescent="0.25">
      <c r="A77" s="54" t="str">
        <f>+A67</f>
        <v>Servicio tecnico</v>
      </c>
      <c r="B77" s="57">
        <f t="shared" ref="B77:F81" si="4">+IF(A77=0,0,(1-B27/B17))</f>
        <v>-58.547499999999999</v>
      </c>
      <c r="C77" s="57">
        <f t="shared" si="4"/>
        <v>-58.547499999999999</v>
      </c>
      <c r="D77" s="57">
        <f t="shared" si="4"/>
        <v>-58.547499999999992</v>
      </c>
      <c r="E77" s="57">
        <f t="shared" si="4"/>
        <v>-58.547499999999992</v>
      </c>
      <c r="F77" s="57">
        <f t="shared" si="4"/>
        <v>-58.547499999999992</v>
      </c>
    </row>
    <row r="78" spans="1:6" x14ac:dyDescent="0.25">
      <c r="A78" s="54" t="str">
        <f>+A68</f>
        <v>Disco SSD (500gb)</v>
      </c>
      <c r="B78" s="57">
        <f t="shared" si="4"/>
        <v>0.19999999999999996</v>
      </c>
      <c r="C78" s="57">
        <f t="shared" si="4"/>
        <v>0.19999999999999996</v>
      </c>
      <c r="D78" s="57">
        <f t="shared" si="4"/>
        <v>0.20000000000000007</v>
      </c>
      <c r="E78" s="57">
        <f t="shared" si="4"/>
        <v>0.20000000000000007</v>
      </c>
      <c r="F78" s="57">
        <f t="shared" si="4"/>
        <v>0.20000000000000007</v>
      </c>
    </row>
    <row r="79" spans="1:6" x14ac:dyDescent="0.25">
      <c r="A79" s="54" t="str">
        <f>+A69</f>
        <v>Memoria RAM (DDR5 2x16gb)</v>
      </c>
      <c r="B79" s="57">
        <f t="shared" si="4"/>
        <v>0.11949685534591192</v>
      </c>
      <c r="C79" s="57">
        <f t="shared" si="4"/>
        <v>0.11949685534591192</v>
      </c>
      <c r="D79" s="57">
        <f t="shared" si="4"/>
        <v>0.11949685534591192</v>
      </c>
      <c r="E79" s="57">
        <f t="shared" si="4"/>
        <v>0.11949685534591181</v>
      </c>
      <c r="F79" s="57">
        <f t="shared" si="4"/>
        <v>0.11949685534591181</v>
      </c>
    </row>
    <row r="80" spans="1:6" x14ac:dyDescent="0.25">
      <c r="A80" s="54" t="str">
        <f>+A70</f>
        <v>Tarjeta grafica (4060)</v>
      </c>
      <c r="B80" s="57">
        <f t="shared" si="4"/>
        <v>0.14893617021276595</v>
      </c>
      <c r="C80" s="57">
        <f t="shared" si="4"/>
        <v>0.14893617021276595</v>
      </c>
      <c r="D80" s="57">
        <f t="shared" si="4"/>
        <v>0.14893617021276584</v>
      </c>
      <c r="E80" s="57">
        <f t="shared" si="4"/>
        <v>0.14893617021276584</v>
      </c>
      <c r="F80" s="57">
        <f t="shared" si="4"/>
        <v>0.14893617021276573</v>
      </c>
    </row>
    <row r="81" spans="1:6" x14ac:dyDescent="0.25">
      <c r="A81" s="54" t="str">
        <f>+A71</f>
        <v>Memoria USB (64gb)</v>
      </c>
      <c r="B81" s="57">
        <f t="shared" si="4"/>
        <v>0.5625</v>
      </c>
      <c r="C81" s="57">
        <f t="shared" si="4"/>
        <v>0.5625</v>
      </c>
      <c r="D81" s="57">
        <f t="shared" si="4"/>
        <v>0.5625</v>
      </c>
      <c r="E81" s="57">
        <f t="shared" si="4"/>
        <v>0.5625</v>
      </c>
      <c r="F81" s="57">
        <f t="shared" si="4"/>
        <v>0.5625</v>
      </c>
    </row>
    <row r="84" spans="1:6" x14ac:dyDescent="0.25">
      <c r="F84" s="58"/>
    </row>
    <row r="85" spans="1:6" x14ac:dyDescent="0.25">
      <c r="A85" s="59"/>
      <c r="B85" s="60"/>
      <c r="C85" s="60"/>
      <c r="D85" s="61"/>
    </row>
  </sheetData>
  <sheetProtection algorithmName="SHA-512" hashValue="oPIkh1lcHVNkexydsjvunNVzq2MaM3yNQOj9iKf01VuEIIaazAh+XXm1MRp6RELyk/FTMyV/Wabe70V62Vt2TQ==" saltValue="Rlo4wfF9z8Q7Tr7l+zzuPQ==" spinCount="100000" sheet="1" objects="1" scenarios="1"/>
  <mergeCells count="10">
    <mergeCell ref="A1:F1"/>
    <mergeCell ref="A75:F75"/>
    <mergeCell ref="A3:F3"/>
    <mergeCell ref="A5:F5"/>
    <mergeCell ref="A15:F15"/>
    <mergeCell ref="A25:F25"/>
    <mergeCell ref="A35:F35"/>
    <mergeCell ref="A45:F45"/>
    <mergeCell ref="A55:F55"/>
    <mergeCell ref="A65:F65"/>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51195-ADA0-4B8D-9ED5-B97791E51E16}">
  <sheetPr codeName="Hoja13"/>
  <dimension ref="A1:AE31"/>
  <sheetViews>
    <sheetView showGridLines="0" topLeftCell="B1" zoomScaleNormal="100" workbookViewId="0">
      <selection activeCell="N19" sqref="N19"/>
    </sheetView>
  </sheetViews>
  <sheetFormatPr baseColWidth="10" defaultColWidth="11.42578125" defaultRowHeight="15" x14ac:dyDescent="0.25"/>
  <cols>
    <col min="1" max="1" width="36.140625" style="15" customWidth="1"/>
    <col min="2" max="2" width="20.42578125" style="15" customWidth="1"/>
    <col min="3" max="3" width="17.7109375" style="15" customWidth="1"/>
    <col min="4" max="8" width="13.42578125" style="15" customWidth="1"/>
    <col min="9" max="12" width="11.42578125" style="15"/>
    <col min="13" max="13" width="14.85546875" style="15" customWidth="1"/>
    <col min="14" max="14" width="18.140625" style="15" customWidth="1"/>
    <col min="15" max="16384" width="11.42578125" style="15"/>
  </cols>
  <sheetData>
    <row r="1" spans="1:31" ht="34.5" customHeight="1" x14ac:dyDescent="0.25">
      <c r="A1" s="354" t="str">
        <f>+'Ventas Pesos Mes'!A1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54"/>
      <c r="C1" s="354"/>
      <c r="D1" s="354"/>
      <c r="E1" s="354"/>
      <c r="F1" s="354"/>
      <c r="G1" s="354"/>
      <c r="H1" s="354"/>
      <c r="I1" s="354"/>
      <c r="J1" s="354"/>
      <c r="K1" s="354"/>
      <c r="L1" s="354"/>
      <c r="M1" s="354"/>
      <c r="N1" s="354"/>
      <c r="O1" s="354"/>
      <c r="P1" s="354"/>
    </row>
    <row r="3" spans="1:31" x14ac:dyDescent="0.25">
      <c r="A3" s="85" t="s">
        <v>135</v>
      </c>
      <c r="B3" s="85"/>
      <c r="C3" s="85"/>
      <c r="D3" s="85"/>
      <c r="E3" s="85"/>
      <c r="F3" s="85"/>
      <c r="G3" s="85"/>
      <c r="H3" s="85"/>
      <c r="I3" s="85"/>
      <c r="J3" s="85"/>
      <c r="K3" s="85"/>
      <c r="L3" s="85"/>
      <c r="M3" s="85"/>
      <c r="N3" s="85"/>
    </row>
    <row r="4" spans="1:31" s="87" customFormat="1" ht="40.5" customHeight="1" x14ac:dyDescent="0.25">
      <c r="A4" s="309" t="s">
        <v>112</v>
      </c>
      <c r="B4" s="309" t="s">
        <v>106</v>
      </c>
      <c r="C4" s="312" t="s">
        <v>113</v>
      </c>
      <c r="D4" s="73" t="s">
        <v>114</v>
      </c>
      <c r="E4" s="73" t="s">
        <v>115</v>
      </c>
      <c r="F4" s="307" t="s">
        <v>116</v>
      </c>
      <c r="G4" s="73" t="s">
        <v>125</v>
      </c>
      <c r="H4" s="73" t="s">
        <v>117</v>
      </c>
      <c r="I4" s="73" t="s">
        <v>118</v>
      </c>
      <c r="J4" s="73" t="s">
        <v>119</v>
      </c>
      <c r="K4" s="73" t="s">
        <v>120</v>
      </c>
      <c r="L4" s="73" t="s">
        <v>121</v>
      </c>
      <c r="M4" s="307" t="s">
        <v>122</v>
      </c>
      <c r="N4" s="73" t="s">
        <v>123</v>
      </c>
      <c r="O4" s="86"/>
      <c r="P4" s="86"/>
      <c r="Q4" s="86"/>
      <c r="R4" s="86"/>
      <c r="S4" s="86"/>
      <c r="T4" s="86"/>
      <c r="U4" s="86"/>
      <c r="V4" s="86"/>
      <c r="W4" s="86"/>
      <c r="X4" s="86"/>
      <c r="Y4" s="86"/>
      <c r="Z4" s="86"/>
      <c r="AA4" s="86"/>
      <c r="AB4" s="86"/>
      <c r="AC4" s="86"/>
      <c r="AD4" s="86"/>
      <c r="AE4" s="86"/>
    </row>
    <row r="5" spans="1:31" x14ac:dyDescent="0.25">
      <c r="A5" s="310"/>
      <c r="B5" s="310"/>
      <c r="C5" s="313"/>
      <c r="D5" s="88">
        <v>0.125</v>
      </c>
      <c r="E5" s="88">
        <v>0.16</v>
      </c>
      <c r="F5" s="314"/>
      <c r="G5" s="88">
        <v>0.04</v>
      </c>
      <c r="H5" s="88">
        <v>8.3299999999999999E-2</v>
      </c>
      <c r="I5" s="88">
        <v>1.1999999999999999E-3</v>
      </c>
      <c r="J5" s="88">
        <v>8.3299999999999999E-2</v>
      </c>
      <c r="K5" s="88">
        <v>5.2199999999999998E-3</v>
      </c>
      <c r="L5" s="88">
        <v>4.1700000000000001E-2</v>
      </c>
      <c r="M5" s="308"/>
      <c r="N5" s="89">
        <v>12</v>
      </c>
      <c r="O5" s="90" t="s">
        <v>124</v>
      </c>
    </row>
    <row r="6" spans="1:31" x14ac:dyDescent="0.25">
      <c r="A6" s="20" t="s">
        <v>461</v>
      </c>
      <c r="B6" s="17" t="s">
        <v>107</v>
      </c>
      <c r="C6" s="63">
        <v>2950905</v>
      </c>
      <c r="D6" s="91">
        <f>+C6*$D$5</f>
        <v>368863.125</v>
      </c>
      <c r="E6" s="91">
        <f>+C6*$E$5</f>
        <v>472144.8</v>
      </c>
      <c r="F6" s="91">
        <f>IF(C6=0,0,IF(C6&lt;=DI!$D$48,DI!$G$47,0))</f>
        <v>249095</v>
      </c>
      <c r="G6" s="91">
        <f>+C6*$G$5</f>
        <v>118036.2</v>
      </c>
      <c r="H6" s="91">
        <f>+C6*$H$5</f>
        <v>245810.38649999999</v>
      </c>
      <c r="I6" s="91">
        <f>+C6*$I$5</f>
        <v>3541.0859999999998</v>
      </c>
      <c r="J6" s="91">
        <f>+C6*$J$5</f>
        <v>245810.38649999999</v>
      </c>
      <c r="K6" s="91">
        <f>+C6*$K$5</f>
        <v>15403.724099999999</v>
      </c>
      <c r="L6" s="91">
        <f>+C6*$L$5</f>
        <v>123052.73850000001</v>
      </c>
      <c r="M6" s="91">
        <f>SUM(C6:L6)</f>
        <v>4792662.4466000004</v>
      </c>
      <c r="N6" s="91">
        <f>+M6*$N$5</f>
        <v>57511949.359200001</v>
      </c>
    </row>
    <row r="7" spans="1:31" x14ac:dyDescent="0.25">
      <c r="A7" s="17" t="s">
        <v>557</v>
      </c>
      <c r="B7" s="17" t="s">
        <v>108</v>
      </c>
      <c r="C7" s="63">
        <v>2150905</v>
      </c>
      <c r="D7" s="91">
        <f>+C7*$D$5</f>
        <v>268863.125</v>
      </c>
      <c r="E7" s="91">
        <f>+C7*$E$5</f>
        <v>344144.8</v>
      </c>
      <c r="F7" s="91">
        <f>IF(C7=0,0,IF(C7&lt;=DI!$D$48,DI!$G$47,0))</f>
        <v>249095</v>
      </c>
      <c r="G7" s="91">
        <f>+C7*$G$5</f>
        <v>86036.2</v>
      </c>
      <c r="H7" s="91">
        <f>+C7*$H$5</f>
        <v>179170.38649999999</v>
      </c>
      <c r="I7" s="91">
        <f>+C7*$I$5</f>
        <v>2581.0859999999998</v>
      </c>
      <c r="J7" s="91">
        <f>+C7*$J$5</f>
        <v>179170.38649999999</v>
      </c>
      <c r="K7" s="91">
        <f>+C7*$K$5</f>
        <v>11227.724099999999</v>
      </c>
      <c r="L7" s="91">
        <f>+C7*$L$5</f>
        <v>89692.738500000007</v>
      </c>
      <c r="M7" s="91">
        <f>SUM(C7:L7)</f>
        <v>3560886.4466000004</v>
      </c>
      <c r="N7" s="91">
        <f>+M7*$N$5</f>
        <v>42730637.359200001</v>
      </c>
    </row>
    <row r="8" spans="1:31" ht="15.75" thickBot="1" x14ac:dyDescent="0.3">
      <c r="A8" s="17" t="s">
        <v>558</v>
      </c>
      <c r="B8" s="17" t="s">
        <v>109</v>
      </c>
      <c r="C8" s="63">
        <v>1950905</v>
      </c>
      <c r="D8" s="91">
        <f>+C8*$D$5</f>
        <v>243863.125</v>
      </c>
      <c r="E8" s="91">
        <f>+C8*$E$5</f>
        <v>312144.8</v>
      </c>
      <c r="F8" s="91">
        <f>IF(C8=0,0,IF(C8&lt;=DI!$D$48,DI!$G$47,0))</f>
        <v>249095</v>
      </c>
      <c r="G8" s="91">
        <f>+C8*$G$5</f>
        <v>78036.2</v>
      </c>
      <c r="H8" s="91">
        <f>+C8*$H$5</f>
        <v>162510.38649999999</v>
      </c>
      <c r="I8" s="91">
        <f>+C8*$I$5</f>
        <v>2341.0859999999998</v>
      </c>
      <c r="J8" s="91">
        <f>+C8*$J$5</f>
        <v>162510.38649999999</v>
      </c>
      <c r="K8" s="91">
        <f>+C8*$K$5</f>
        <v>10183.724099999999</v>
      </c>
      <c r="L8" s="91">
        <f>+C8*$L$5</f>
        <v>81352.738500000007</v>
      </c>
      <c r="M8" s="91">
        <f>SUM(C8:L8)</f>
        <v>3252942.4466000004</v>
      </c>
      <c r="N8" s="91">
        <f>+M8*$N$5</f>
        <v>39035309.359200001</v>
      </c>
    </row>
    <row r="9" spans="1:31" ht="15.75" hidden="1" thickBot="1" x14ac:dyDescent="0.3">
      <c r="A9" s="17"/>
      <c r="B9" s="17"/>
      <c r="C9" s="63"/>
      <c r="D9" s="91">
        <f>+C9*$D$5</f>
        <v>0</v>
      </c>
      <c r="E9" s="91">
        <f>+C9*$E$5</f>
        <v>0</v>
      </c>
      <c r="F9" s="91">
        <f>IF(C9=0,0,IF(C9&lt;=DI!$D$48,DI!$G$47,0))</f>
        <v>0</v>
      </c>
      <c r="G9" s="91">
        <f>+C9*$G$5</f>
        <v>0</v>
      </c>
      <c r="H9" s="91">
        <f>+C9*$H$5</f>
        <v>0</v>
      </c>
      <c r="I9" s="91">
        <f>+C9*$I$5</f>
        <v>0</v>
      </c>
      <c r="J9" s="91">
        <f>+C9*$J$5</f>
        <v>0</v>
      </c>
      <c r="K9" s="91">
        <f>+C9*$K$5</f>
        <v>0</v>
      </c>
      <c r="L9" s="91">
        <f>+C9*$L$5</f>
        <v>0</v>
      </c>
      <c r="M9" s="91">
        <f>SUM(C9:L9)</f>
        <v>0</v>
      </c>
      <c r="N9" s="91">
        <f>+M9*$N$5</f>
        <v>0</v>
      </c>
    </row>
    <row r="10" spans="1:31" x14ac:dyDescent="0.25">
      <c r="A10" s="66" t="s">
        <v>4</v>
      </c>
      <c r="B10" s="66"/>
      <c r="C10" s="66">
        <f t="shared" ref="C10:N10" si="0">SUM(C6:C9)</f>
        <v>7052715</v>
      </c>
      <c r="D10" s="66">
        <f t="shared" si="0"/>
        <v>881589.375</v>
      </c>
      <c r="E10" s="66">
        <f t="shared" si="0"/>
        <v>1128434.3999999999</v>
      </c>
      <c r="F10" s="66">
        <f>SUM(F6:F9)</f>
        <v>747285</v>
      </c>
      <c r="G10" s="66">
        <f t="shared" si="0"/>
        <v>282108.59999999998</v>
      </c>
      <c r="H10" s="66">
        <f t="shared" si="0"/>
        <v>587491.15949999995</v>
      </c>
      <c r="I10" s="66">
        <f t="shared" si="0"/>
        <v>8463.2579999999998</v>
      </c>
      <c r="J10" s="66">
        <f t="shared" si="0"/>
        <v>587491.15949999995</v>
      </c>
      <c r="K10" s="66">
        <f t="shared" si="0"/>
        <v>36815.172299999998</v>
      </c>
      <c r="L10" s="66">
        <f t="shared" si="0"/>
        <v>294098.21550000005</v>
      </c>
      <c r="M10" s="66">
        <f t="shared" si="0"/>
        <v>11606491.3398</v>
      </c>
      <c r="N10" s="66">
        <f t="shared" si="0"/>
        <v>139277896.0776</v>
      </c>
      <c r="O10" s="92"/>
      <c r="P10" s="92"/>
      <c r="Q10" s="92"/>
      <c r="R10" s="92"/>
      <c r="S10" s="92"/>
      <c r="T10" s="92"/>
      <c r="U10" s="92"/>
      <c r="V10" s="92"/>
      <c r="W10" s="92"/>
      <c r="X10" s="92"/>
      <c r="Y10" s="92"/>
      <c r="Z10" s="92"/>
      <c r="AA10" s="92"/>
      <c r="AB10" s="92"/>
      <c r="AC10" s="92"/>
      <c r="AD10" s="92"/>
      <c r="AE10" s="92"/>
    </row>
    <row r="11" spans="1:31" ht="15.75" x14ac:dyDescent="0.25">
      <c r="A11" s="377" t="s">
        <v>157</v>
      </c>
      <c r="B11" s="377"/>
      <c r="C11" s="377"/>
      <c r="D11" s="377"/>
      <c r="E11" s="377"/>
      <c r="F11" s="377"/>
      <c r="G11" s="377"/>
      <c r="H11" s="377"/>
      <c r="I11" s="377"/>
      <c r="J11" s="377"/>
      <c r="K11" s="377"/>
      <c r="L11" s="377"/>
      <c r="M11" s="377"/>
      <c r="N11" s="377"/>
      <c r="O11" s="378"/>
    </row>
    <row r="13" spans="1:31" x14ac:dyDescent="0.25">
      <c r="A13" s="85" t="s">
        <v>136</v>
      </c>
      <c r="B13" s="85"/>
      <c r="F13" s="379" t="s">
        <v>150</v>
      </c>
      <c r="G13" s="380"/>
      <c r="H13" s="380"/>
      <c r="I13" s="380"/>
      <c r="J13" s="380"/>
      <c r="K13" s="380"/>
      <c r="L13" s="380"/>
      <c r="M13" s="380"/>
    </row>
    <row r="14" spans="1:31" x14ac:dyDescent="0.25">
      <c r="F14" s="381" t="s">
        <v>142</v>
      </c>
      <c r="G14" s="384"/>
      <c r="H14" s="382"/>
      <c r="I14" s="94" t="s">
        <v>2</v>
      </c>
      <c r="J14" s="381" t="s">
        <v>143</v>
      </c>
      <c r="K14" s="382"/>
      <c r="L14" s="381" t="s">
        <v>144</v>
      </c>
      <c r="M14" s="382"/>
    </row>
    <row r="15" spans="1:31" x14ac:dyDescent="0.25">
      <c r="A15" s="93" t="s">
        <v>369</v>
      </c>
      <c r="B15" s="93"/>
      <c r="F15" s="385" t="s">
        <v>141</v>
      </c>
      <c r="G15" s="386"/>
      <c r="H15" s="387"/>
      <c r="I15" s="20">
        <f>+COUNT(C6:C9)</f>
        <v>3</v>
      </c>
      <c r="J15" s="370">
        <f>+M10</f>
        <v>11606491.3398</v>
      </c>
      <c r="K15" s="371"/>
      <c r="L15" s="370">
        <f>+N10</f>
        <v>139277896.0776</v>
      </c>
      <c r="M15" s="371"/>
    </row>
    <row r="16" spans="1:31" x14ac:dyDescent="0.25">
      <c r="A16" s="94" t="s">
        <v>137</v>
      </c>
      <c r="B16" s="94" t="s">
        <v>151</v>
      </c>
      <c r="F16" s="385" t="s">
        <v>145</v>
      </c>
      <c r="G16" s="386"/>
      <c r="H16" s="387"/>
      <c r="I16" s="20">
        <f>+COUNT(B17:B18)</f>
        <v>2</v>
      </c>
      <c r="J16" s="370">
        <f>+B19</f>
        <v>550000</v>
      </c>
      <c r="K16" s="371"/>
      <c r="L16" s="370">
        <f>+J16*12</f>
        <v>6600000</v>
      </c>
      <c r="M16" s="371"/>
    </row>
    <row r="17" spans="1:13" x14ac:dyDescent="0.25">
      <c r="A17" s="17" t="s">
        <v>560</v>
      </c>
      <c r="B17" s="63">
        <v>300000</v>
      </c>
      <c r="F17" s="383" t="s">
        <v>146</v>
      </c>
      <c r="G17" s="383"/>
      <c r="H17" s="383"/>
      <c r="I17" s="20">
        <f>+COUNT(B23:B24)</f>
        <v>1</v>
      </c>
      <c r="J17" s="370">
        <f>+B25</f>
        <v>500000</v>
      </c>
      <c r="K17" s="371"/>
      <c r="L17" s="370">
        <f>+J17*12</f>
        <v>6000000</v>
      </c>
      <c r="M17" s="371"/>
    </row>
    <row r="18" spans="1:13" ht="15.75" thickBot="1" x14ac:dyDescent="0.3">
      <c r="A18" s="470" t="s">
        <v>561</v>
      </c>
      <c r="B18" s="63">
        <v>250000</v>
      </c>
      <c r="F18" s="383" t="s">
        <v>147</v>
      </c>
      <c r="G18" s="383"/>
      <c r="H18" s="383"/>
      <c r="I18" s="20">
        <f>+COUNT(B29:B30)</f>
        <v>1</v>
      </c>
      <c r="J18" s="370">
        <f>+B31</f>
        <v>400000</v>
      </c>
      <c r="K18" s="371"/>
      <c r="L18" s="370">
        <f>+J18*12</f>
        <v>4800000</v>
      </c>
      <c r="M18" s="371"/>
    </row>
    <row r="19" spans="1:13" ht="25.5" x14ac:dyDescent="0.25">
      <c r="A19" s="95" t="s">
        <v>138</v>
      </c>
      <c r="B19" s="96">
        <f>SUM(B17:B18)</f>
        <v>550000</v>
      </c>
      <c r="F19" s="372" t="s">
        <v>148</v>
      </c>
      <c r="G19" s="373"/>
      <c r="H19" s="374"/>
      <c r="I19" s="99">
        <f>SUM(I15:I18)</f>
        <v>7</v>
      </c>
      <c r="J19" s="375">
        <f>+SUM(J15:K18)</f>
        <v>13056491.3398</v>
      </c>
      <c r="K19" s="376"/>
      <c r="L19" s="375">
        <f>+SUM(L15:M18)</f>
        <v>156677896.0776</v>
      </c>
      <c r="M19" s="376"/>
    </row>
    <row r="21" spans="1:13" x14ac:dyDescent="0.25">
      <c r="A21" s="93" t="s">
        <v>370</v>
      </c>
      <c r="B21" s="93"/>
    </row>
    <row r="22" spans="1:13" x14ac:dyDescent="0.25">
      <c r="A22" s="94" t="s">
        <v>137</v>
      </c>
      <c r="B22" s="94" t="s">
        <v>151</v>
      </c>
    </row>
    <row r="23" spans="1:13" ht="15.75" thickBot="1" x14ac:dyDescent="0.3">
      <c r="A23" s="20" t="s">
        <v>149</v>
      </c>
      <c r="B23" s="13">
        <f>+IF('2. Mercado'!B5&gt;0,500000,0)</f>
        <v>500000</v>
      </c>
    </row>
    <row r="24" spans="1:13" ht="15.75" hidden="1" thickBot="1" x14ac:dyDescent="0.3">
      <c r="A24" s="17"/>
      <c r="B24" s="63"/>
    </row>
    <row r="25" spans="1:13" ht="25.5" x14ac:dyDescent="0.25">
      <c r="A25" s="95" t="s">
        <v>139</v>
      </c>
      <c r="B25" s="96">
        <f>SUM(B23:B24)</f>
        <v>500000</v>
      </c>
    </row>
    <row r="27" spans="1:13" x14ac:dyDescent="0.25">
      <c r="A27" s="93" t="s">
        <v>371</v>
      </c>
      <c r="B27" s="93"/>
    </row>
    <row r="28" spans="1:13" x14ac:dyDescent="0.25">
      <c r="A28" s="94" t="s">
        <v>137</v>
      </c>
      <c r="B28" s="94" t="s">
        <v>151</v>
      </c>
    </row>
    <row r="29" spans="1:13" ht="15.75" thickBot="1" x14ac:dyDescent="0.3">
      <c r="A29" s="17" t="s">
        <v>559</v>
      </c>
      <c r="B29" s="63">
        <v>400000</v>
      </c>
    </row>
    <row r="30" spans="1:13" ht="15.75" hidden="1" thickBot="1" x14ac:dyDescent="0.3">
      <c r="A30" s="17"/>
      <c r="B30" s="63"/>
    </row>
    <row r="31" spans="1:13" ht="25.5" x14ac:dyDescent="0.25">
      <c r="A31" s="95" t="s">
        <v>140</v>
      </c>
      <c r="B31" s="96">
        <f>SUM(B29:B30)</f>
        <v>400000</v>
      </c>
    </row>
  </sheetData>
  <sheetProtection algorithmName="SHA-512" hashValue="JiibbHD4VhS0bmYsLmuNaaZ7Fl66DU0N5wvNvRrVBq5A6WUdTqidcNRoNgUHhqC7o2GYocEtXMhWeWVH1j0THA==" saltValue="ryMQ+rzQUIC3OrMTTbNO6Q==" spinCount="100000" sheet="1" objects="1" scenarios="1"/>
  <mergeCells count="26">
    <mergeCell ref="F19:H19"/>
    <mergeCell ref="J19:K19"/>
    <mergeCell ref="L19:M19"/>
    <mergeCell ref="A11:O11"/>
    <mergeCell ref="F13:M13"/>
    <mergeCell ref="L14:M14"/>
    <mergeCell ref="J14:K14"/>
    <mergeCell ref="F18:H18"/>
    <mergeCell ref="J18:K18"/>
    <mergeCell ref="L18:M18"/>
    <mergeCell ref="J17:K17"/>
    <mergeCell ref="L17:M17"/>
    <mergeCell ref="F17:H17"/>
    <mergeCell ref="F14:H14"/>
    <mergeCell ref="F15:H15"/>
    <mergeCell ref="F16:H16"/>
    <mergeCell ref="J15:K15"/>
    <mergeCell ref="J16:K16"/>
    <mergeCell ref="L15:M15"/>
    <mergeCell ref="L16:M16"/>
    <mergeCell ref="M4:M5"/>
    <mergeCell ref="A4:A5"/>
    <mergeCell ref="B4:B5"/>
    <mergeCell ref="C4:C5"/>
    <mergeCell ref="F4:F5"/>
    <mergeCell ref="A1:P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4A9B0F9-473E-42E4-BAD6-BC43951DB1FE}">
          <x14:formula1>
            <xm:f>DI!$D$12:$D$14</xm:f>
          </x14:formula1>
          <xm:sqref>B6:B9</xm:sqref>
        </x14:dataValidation>
        <x14:dataValidation type="list" allowBlank="1" showInputMessage="1" showErrorMessage="1" promptTitle="0" xr:uid="{35374301-5D4B-4DD3-8ECC-6BCDED4480C9}">
          <x14:formula1>
            <xm:f>DI!$E$47:$E$68</xm:f>
          </x14:formula1>
          <xm:sqref>C6:C9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C44FC-7CBA-437D-9580-70FF8F6C3F84}">
  <sheetPr codeName="Hoja14"/>
  <dimension ref="A1:G28"/>
  <sheetViews>
    <sheetView showGridLines="0" workbookViewId="0">
      <selection activeCell="B24" sqref="B24"/>
    </sheetView>
  </sheetViews>
  <sheetFormatPr baseColWidth="10" defaultColWidth="11.42578125" defaultRowHeight="15" x14ac:dyDescent="0.25"/>
  <cols>
    <col min="1" max="1" width="48" style="15" customWidth="1"/>
    <col min="2" max="2" width="22.42578125" style="15" customWidth="1"/>
    <col min="3" max="7" width="18.42578125" style="15" customWidth="1"/>
    <col min="8" max="16384" width="11.42578125" style="15"/>
  </cols>
  <sheetData>
    <row r="1" spans="1:7" ht="53.25" customHeight="1" x14ac:dyDescent="0.25">
      <c r="A1" s="301" t="str">
        <f>+'1. Inversiones'!A1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01"/>
      <c r="C1" s="301"/>
      <c r="D1" s="301"/>
      <c r="E1" s="301"/>
      <c r="F1" s="301"/>
    </row>
    <row r="3" spans="1:7" x14ac:dyDescent="0.25">
      <c r="B3" s="108" t="s">
        <v>160</v>
      </c>
      <c r="C3" s="109"/>
      <c r="D3" s="109"/>
      <c r="E3" s="109"/>
      <c r="F3" s="109"/>
      <c r="G3" s="109"/>
    </row>
    <row r="4" spans="1:7" x14ac:dyDescent="0.25">
      <c r="A4" s="97" t="s">
        <v>161</v>
      </c>
      <c r="B4" s="10">
        <v>900000</v>
      </c>
      <c r="C4" s="109"/>
      <c r="D4" s="109"/>
      <c r="E4" s="109"/>
      <c r="F4" s="109"/>
      <c r="G4" s="109"/>
    </row>
    <row r="5" spans="1:7" x14ac:dyDescent="0.25">
      <c r="A5" s="97" t="s">
        <v>162</v>
      </c>
      <c r="B5" s="13">
        <f>+B4*0.25</f>
        <v>225000</v>
      </c>
      <c r="C5" s="109"/>
      <c r="D5" s="109"/>
      <c r="E5" s="109"/>
      <c r="F5" s="109"/>
      <c r="G5" s="109"/>
    </row>
    <row r="6" spans="1:7" x14ac:dyDescent="0.25">
      <c r="B6" s="109"/>
      <c r="C6" s="109"/>
      <c r="D6" s="109"/>
      <c r="E6" s="109"/>
      <c r="F6" s="109"/>
      <c r="G6" s="109"/>
    </row>
    <row r="7" spans="1:7" x14ac:dyDescent="0.25">
      <c r="B7" s="108" t="s">
        <v>163</v>
      </c>
      <c r="C7" s="109"/>
      <c r="D7" s="109"/>
      <c r="E7" s="109"/>
      <c r="F7" s="109"/>
      <c r="G7" s="109"/>
    </row>
    <row r="8" spans="1:7" x14ac:dyDescent="0.25">
      <c r="A8" s="97" t="s">
        <v>164</v>
      </c>
      <c r="B8" s="13">
        <f>+'1. Inversiones'!E41*0.1</f>
        <v>9884255.2000000011</v>
      </c>
      <c r="C8" s="109"/>
      <c r="D8" s="109"/>
      <c r="E8" s="109"/>
      <c r="F8" s="109"/>
      <c r="G8" s="109"/>
    </row>
    <row r="11" spans="1:7" x14ac:dyDescent="0.25">
      <c r="A11" s="300" t="s">
        <v>178</v>
      </c>
      <c r="B11" s="300"/>
      <c r="C11" s="300"/>
      <c r="D11" s="300"/>
      <c r="E11" s="300"/>
      <c r="F11" s="300"/>
      <c r="G11" s="300"/>
    </row>
    <row r="12" spans="1:7" x14ac:dyDescent="0.25">
      <c r="A12" s="45" t="s">
        <v>165</v>
      </c>
      <c r="B12" s="108" t="s">
        <v>160</v>
      </c>
      <c r="C12" s="110" t="s">
        <v>166</v>
      </c>
      <c r="D12" s="110" t="s">
        <v>167</v>
      </c>
      <c r="E12" s="110" t="s">
        <v>168</v>
      </c>
      <c r="F12" s="110" t="s">
        <v>169</v>
      </c>
      <c r="G12" s="110" t="s">
        <v>170</v>
      </c>
    </row>
    <row r="13" spans="1:7" x14ac:dyDescent="0.25">
      <c r="A13" s="98" t="s">
        <v>171</v>
      </c>
      <c r="B13" s="13">
        <f>+'1. Inversiones'!E41*0.003</f>
        <v>296527.65600000002</v>
      </c>
      <c r="C13" s="111">
        <f>+B13*12</f>
        <v>3558331.8720000004</v>
      </c>
      <c r="D13" s="111">
        <f>+(C13*DI!$B$7)+C13</f>
        <v>3796384.2742368006</v>
      </c>
      <c r="E13" s="111">
        <f>+(D13*DI!$B$7)+D13</f>
        <v>4050362.3821832426</v>
      </c>
      <c r="F13" s="111">
        <f>+(E13*DI!$B$7)+E13</f>
        <v>4321331.625551302</v>
      </c>
      <c r="G13" s="111">
        <f>+(F13*DI!$B$7)+F13</f>
        <v>4610428.7113006841</v>
      </c>
    </row>
    <row r="14" spans="1:7" x14ac:dyDescent="0.25">
      <c r="A14" s="98" t="s">
        <v>172</v>
      </c>
      <c r="B14" s="13">
        <f>+DI!O12/12</f>
        <v>145833.33333333334</v>
      </c>
      <c r="C14" s="111">
        <f>IF(B14=0,"0",DI!L11)</f>
        <v>1750000</v>
      </c>
      <c r="D14" s="111">
        <f>+(C14*DI!$B$7)+C14</f>
        <v>1867075</v>
      </c>
      <c r="E14" s="111">
        <f>+(D14*DI!$B$7)+D14</f>
        <v>1991982.3174999999</v>
      </c>
      <c r="F14" s="111">
        <f>+(E14*DI!$B$7)+E14</f>
        <v>2125245.93454075</v>
      </c>
      <c r="G14" s="111">
        <f>+(F14*DI!$B$7)+F14</f>
        <v>2267424.8875615261</v>
      </c>
    </row>
    <row r="15" spans="1:7" x14ac:dyDescent="0.25">
      <c r="A15" s="98" t="s">
        <v>173</v>
      </c>
      <c r="B15" s="13">
        <f>+(B8*0.6)/12</f>
        <v>494212.76</v>
      </c>
      <c r="C15" s="111">
        <f t="shared" ref="C15:C24" si="0">+B15*12</f>
        <v>5930553.1200000001</v>
      </c>
      <c r="D15" s="111">
        <f>+(C15*DI!$B$7)+C15</f>
        <v>6327307.1237280006</v>
      </c>
      <c r="E15" s="111">
        <f>+(D15*DI!$B$7)+D15</f>
        <v>6750603.9703054037</v>
      </c>
      <c r="F15" s="111">
        <f>+(E15*DI!$B$7)+E15</f>
        <v>7202219.3759188354</v>
      </c>
      <c r="G15" s="111">
        <f>+(F15*DI!$B$7)+F15</f>
        <v>7684047.8521678057</v>
      </c>
    </row>
    <row r="16" spans="1:7" x14ac:dyDescent="0.25">
      <c r="A16" s="98" t="s">
        <v>174</v>
      </c>
      <c r="B16" s="13">
        <f>+B4*0.6</f>
        <v>540000</v>
      </c>
      <c r="C16" s="111">
        <f t="shared" si="0"/>
        <v>6480000</v>
      </c>
      <c r="D16" s="111">
        <f>+(C16*DI!$B$7)+C16</f>
        <v>6913512</v>
      </c>
      <c r="E16" s="111">
        <f>+(D16*DI!$B$7)+D16</f>
        <v>7376025.9528000001</v>
      </c>
      <c r="F16" s="111">
        <f>+(E16*DI!$B$7)+E16</f>
        <v>7869482.0890423199</v>
      </c>
      <c r="G16" s="111">
        <f>+(F16*DI!$B$7)+F16</f>
        <v>8395950.4407992512</v>
      </c>
    </row>
    <row r="17" spans="1:7" x14ac:dyDescent="0.25">
      <c r="A17" s="98" t="s">
        <v>175</v>
      </c>
      <c r="B17" s="13">
        <f>+B5*0.6</f>
        <v>135000</v>
      </c>
      <c r="C17" s="111">
        <f t="shared" si="0"/>
        <v>1620000</v>
      </c>
      <c r="D17" s="111">
        <f>+(C17*DI!$B$7)+C17</f>
        <v>1728378</v>
      </c>
      <c r="E17" s="111">
        <f>+(D17*DI!$B$7)+D17</f>
        <v>1844006.4882</v>
      </c>
      <c r="F17" s="111">
        <f>+(E17*DI!$B$7)+E17</f>
        <v>1967370.52226058</v>
      </c>
      <c r="G17" s="111">
        <f>+(F17*DI!$B$7)+F17</f>
        <v>2098987.6101998128</v>
      </c>
    </row>
    <row r="18" spans="1:7" x14ac:dyDescent="0.25">
      <c r="A18" s="98" t="s">
        <v>444</v>
      </c>
      <c r="B18" s="13">
        <f>+'6. Nomina'!B19</f>
        <v>550000</v>
      </c>
      <c r="C18" s="111">
        <f t="shared" si="0"/>
        <v>6600000</v>
      </c>
      <c r="D18" s="111">
        <f>+(C18*DI!$B$7)+C18</f>
        <v>7041540</v>
      </c>
      <c r="E18" s="111">
        <f>+(D18*DI!$B$7)+D18</f>
        <v>7512619.0259999996</v>
      </c>
      <c r="F18" s="111">
        <f>+(E18*DI!$B$7)+E18</f>
        <v>8015213.2388394</v>
      </c>
      <c r="G18" s="111">
        <f>+(F18*DI!$B$7)+F18</f>
        <v>8551431.0045177564</v>
      </c>
    </row>
    <row r="19" spans="1:7" hidden="1" x14ac:dyDescent="0.25">
      <c r="A19" s="112"/>
      <c r="B19" s="76"/>
      <c r="C19" s="111">
        <f t="shared" si="0"/>
        <v>0</v>
      </c>
      <c r="D19" s="111">
        <f>+(C19*DI!$B$7)+C19</f>
        <v>0</v>
      </c>
      <c r="E19" s="111">
        <f>+(D19*DI!$B$7)+D19</f>
        <v>0</v>
      </c>
      <c r="F19" s="111">
        <f>+(E19*DI!$B$7)+E19</f>
        <v>0</v>
      </c>
      <c r="G19" s="111">
        <f>+(F19*DI!$B$7)+F19</f>
        <v>0</v>
      </c>
    </row>
    <row r="20" spans="1:7" hidden="1" x14ac:dyDescent="0.25">
      <c r="A20" s="113"/>
      <c r="B20" s="76"/>
      <c r="C20" s="111">
        <f t="shared" si="0"/>
        <v>0</v>
      </c>
      <c r="D20" s="111">
        <f>+(C20*DI!$B$7)+C20</f>
        <v>0</v>
      </c>
      <c r="E20" s="111">
        <f>+(D20*DI!$B$7)+D20</f>
        <v>0</v>
      </c>
      <c r="F20" s="111">
        <f>+(E20*DI!$B$7)+E20</f>
        <v>0</v>
      </c>
      <c r="G20" s="111">
        <f>+(F20*DI!$B$7)+F20</f>
        <v>0</v>
      </c>
    </row>
    <row r="21" spans="1:7" hidden="1" x14ac:dyDescent="0.25">
      <c r="A21" s="113"/>
      <c r="B21" s="76"/>
      <c r="C21" s="111">
        <f t="shared" si="0"/>
        <v>0</v>
      </c>
      <c r="D21" s="111">
        <f>+(C21*DI!$B$7)+C21</f>
        <v>0</v>
      </c>
      <c r="E21" s="111">
        <f>+(D21*DI!$B$7)+D21</f>
        <v>0</v>
      </c>
      <c r="F21" s="111">
        <f>+(E21*DI!$B$7)+E21</f>
        <v>0</v>
      </c>
      <c r="G21" s="111">
        <f>+(F21*DI!$B$7)+F21</f>
        <v>0</v>
      </c>
    </row>
    <row r="22" spans="1:7" hidden="1" x14ac:dyDescent="0.25">
      <c r="A22" s="113"/>
      <c r="B22" s="76"/>
      <c r="C22" s="111">
        <f t="shared" si="0"/>
        <v>0</v>
      </c>
      <c r="D22" s="111">
        <f>+(C22*DI!$B$7)+C22</f>
        <v>0</v>
      </c>
      <c r="E22" s="111">
        <f>+(D22*DI!$B$7)+D22</f>
        <v>0</v>
      </c>
      <c r="F22" s="111">
        <f>+(E22*DI!$B$7)+E22</f>
        <v>0</v>
      </c>
      <c r="G22" s="111">
        <f>+(F22*DI!$B$7)+F22</f>
        <v>0</v>
      </c>
    </row>
    <row r="23" spans="1:7" hidden="1" x14ac:dyDescent="0.25">
      <c r="A23" s="113"/>
      <c r="B23" s="76"/>
      <c r="C23" s="111">
        <f t="shared" si="0"/>
        <v>0</v>
      </c>
      <c r="D23" s="111">
        <f>+(C23*DI!$B$7)+C23</f>
        <v>0</v>
      </c>
      <c r="E23" s="111">
        <f>+(D23*DI!$B$7)+D23</f>
        <v>0</v>
      </c>
      <c r="F23" s="111">
        <f>+(E23*DI!$B$7)+E23</f>
        <v>0</v>
      </c>
      <c r="G23" s="111">
        <f>+(F23*DI!$B$7)+F23</f>
        <v>0</v>
      </c>
    </row>
    <row r="24" spans="1:7" x14ac:dyDescent="0.25">
      <c r="A24" s="114" t="s">
        <v>177</v>
      </c>
      <c r="B24" s="13">
        <f>+DI!X8+'6. Nomina'!B19</f>
        <v>4110886.4466000004</v>
      </c>
      <c r="C24" s="111">
        <f t="shared" si="0"/>
        <v>49330637.359200001</v>
      </c>
      <c r="D24" s="111">
        <f>+(C24*DI!$B$7)+C24</f>
        <v>52630856.998530477</v>
      </c>
      <c r="E24" s="111">
        <f>+(D24*DI!$B$7)+D24</f>
        <v>56151861.331732169</v>
      </c>
      <c r="F24" s="111">
        <f>+(E24*DI!$B$7)+E24</f>
        <v>59908420.85482505</v>
      </c>
      <c r="G24" s="111">
        <f>+(F24*DI!$B$7)+F24</f>
        <v>63916294.210012846</v>
      </c>
    </row>
    <row r="25" spans="1:7" x14ac:dyDescent="0.25">
      <c r="A25" s="114" t="s">
        <v>462</v>
      </c>
      <c r="B25" s="13">
        <f>+IF(B5=0,0,230000)</f>
        <v>230000</v>
      </c>
      <c r="C25" s="111">
        <f>+B25*12</f>
        <v>2760000</v>
      </c>
      <c r="D25" s="111">
        <f>+(C25*DI!$B$7)+C25</f>
        <v>2944644</v>
      </c>
      <c r="E25" s="111">
        <f>+(D25*DI!$B$7)+D25</f>
        <v>3141640.6836000001</v>
      </c>
      <c r="F25" s="111">
        <f>+(E25*DI!$B$7)+E25</f>
        <v>3351816.4453328401</v>
      </c>
      <c r="G25" s="111">
        <f>+(F25*DI!$B$7)+F25</f>
        <v>3576052.9655256071</v>
      </c>
    </row>
    <row r="26" spans="1:7" x14ac:dyDescent="0.25">
      <c r="A26" s="202" t="s">
        <v>176</v>
      </c>
      <c r="B26" s="10"/>
      <c r="C26" s="111">
        <f>+B26*12</f>
        <v>0</v>
      </c>
      <c r="D26" s="111">
        <f>+(C26*DI!$B$7)+C26</f>
        <v>0</v>
      </c>
      <c r="E26" s="111">
        <f>+(D26*DI!$B$7)+D26</f>
        <v>0</v>
      </c>
      <c r="F26" s="111">
        <f>+(E26*DI!$B$7)+E26</f>
        <v>0</v>
      </c>
      <c r="G26" s="111">
        <f>+(F26*DI!$B$7)+F26</f>
        <v>0</v>
      </c>
    </row>
    <row r="27" spans="1:7" x14ac:dyDescent="0.25">
      <c r="A27" s="137" t="s">
        <v>235</v>
      </c>
      <c r="B27" s="115">
        <f t="shared" ref="B27:G27" si="1">SUM(B13:B26)</f>
        <v>6502460.1959333336</v>
      </c>
      <c r="C27" s="115">
        <f>SUM(C13:C26)</f>
        <v>78029522.351199999</v>
      </c>
      <c r="D27" s="115">
        <f t="shared" si="1"/>
        <v>83249697.396495283</v>
      </c>
      <c r="E27" s="115">
        <f t="shared" si="1"/>
        <v>88819102.152320817</v>
      </c>
      <c r="F27" s="115">
        <f t="shared" si="1"/>
        <v>94761100.086311072</v>
      </c>
      <c r="G27" s="115">
        <f t="shared" si="1"/>
        <v>101100617.68208529</v>
      </c>
    </row>
    <row r="28" spans="1:7" x14ac:dyDescent="0.25">
      <c r="A28" s="138" t="s">
        <v>236</v>
      </c>
      <c r="B28" s="55">
        <f t="shared" ref="B28:G28" si="2">+B27-B24</f>
        <v>2391573.7493333332</v>
      </c>
      <c r="C28" s="55">
        <f>+C27-C24</f>
        <v>28698884.991999999</v>
      </c>
      <c r="D28" s="55">
        <f t="shared" si="2"/>
        <v>30618840.397964805</v>
      </c>
      <c r="E28" s="55">
        <f t="shared" si="2"/>
        <v>32667240.820588648</v>
      </c>
      <c r="F28" s="55">
        <f t="shared" si="2"/>
        <v>34852679.231486022</v>
      </c>
      <c r="G28" s="55">
        <f t="shared" si="2"/>
        <v>37184323.472072445</v>
      </c>
    </row>
  </sheetData>
  <sheetProtection algorithmName="SHA-512" hashValue="9yOLt4YKzxUi7S8BOn29QHUjACcH6Pe8oVUiEPJeFSjQ1Sc3jo0TeY4kxTRfipbv7xVsqqrt8nC8qiMQbU2J6w==" saltValue="CN/OrhlXA9YJFhD21CKBsg==" spinCount="100000" sheet="1" objects="1" scenarios="1"/>
  <mergeCells count="2">
    <mergeCell ref="A11:G11"/>
    <mergeCell ref="A1:F1"/>
  </mergeCells>
  <pageMargins left="0.7" right="0.7" top="0.75" bottom="0.75" header="0.3" footer="0.3"/>
  <ignoredErrors>
    <ignoredError sqref="C14" formula="1"/>
  </ignoredError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71E3E-67BC-484B-9FCD-2C0913DA34E5}">
  <sheetPr codeName="Hoja15"/>
  <dimension ref="A1:I60"/>
  <sheetViews>
    <sheetView showGridLines="0" topLeftCell="A33" workbookViewId="0">
      <selection activeCell="C34" sqref="C34"/>
    </sheetView>
  </sheetViews>
  <sheetFormatPr baseColWidth="10" defaultRowHeight="15" x14ac:dyDescent="0.25"/>
  <cols>
    <col min="1" max="1" width="59.42578125" customWidth="1"/>
    <col min="2" max="2" width="19.28515625" customWidth="1"/>
    <col min="3" max="7" width="15" customWidth="1"/>
    <col min="8" max="8" width="36" hidden="1" customWidth="1"/>
    <col min="9" max="9" width="19.42578125" hidden="1" customWidth="1"/>
    <col min="10" max="10" width="25.140625" customWidth="1"/>
  </cols>
  <sheetData>
    <row r="1" spans="1:9" ht="46.5" customHeight="1" x14ac:dyDescent="0.25">
      <c r="A1" s="301" t="str">
        <f>+'1. Inversiones'!A1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01"/>
      <c r="C1" s="301"/>
      <c r="D1" s="301"/>
      <c r="E1" s="301"/>
      <c r="F1" s="301"/>
    </row>
    <row r="3" spans="1:9" x14ac:dyDescent="0.25">
      <c r="A3" s="300" t="s">
        <v>199</v>
      </c>
      <c r="B3" s="300"/>
    </row>
    <row r="4" spans="1:9" x14ac:dyDescent="0.25">
      <c r="A4" s="45" t="s">
        <v>179</v>
      </c>
      <c r="B4" s="108" t="s">
        <v>160</v>
      </c>
    </row>
    <row r="5" spans="1:9" x14ac:dyDescent="0.25">
      <c r="A5" s="162" t="s">
        <v>457</v>
      </c>
      <c r="B5" s="13">
        <v>1500000</v>
      </c>
    </row>
    <row r="6" spans="1:9" x14ac:dyDescent="0.25">
      <c r="A6" s="162" t="s">
        <v>226</v>
      </c>
      <c r="B6" s="13">
        <v>1500000</v>
      </c>
    </row>
    <row r="7" spans="1:9" x14ac:dyDescent="0.25">
      <c r="A7" s="162" t="s">
        <v>227</v>
      </c>
      <c r="B7" s="13">
        <v>150000</v>
      </c>
    </row>
    <row r="8" spans="1:9" x14ac:dyDescent="0.25">
      <c r="A8" s="131" t="s">
        <v>229</v>
      </c>
      <c r="B8" s="132"/>
    </row>
    <row r="9" spans="1:9" x14ac:dyDescent="0.25">
      <c r="A9" s="116" t="s">
        <v>180</v>
      </c>
      <c r="B9" s="13">
        <f>+I9</f>
        <v>38000</v>
      </c>
      <c r="H9" s="138" t="s">
        <v>180</v>
      </c>
      <c r="I9" s="37">
        <v>38000</v>
      </c>
    </row>
    <row r="10" spans="1:9" x14ac:dyDescent="0.25">
      <c r="A10" s="117" t="s">
        <v>181</v>
      </c>
      <c r="B10" s="13">
        <f t="shared" ref="B10:B16" si="0">+I10</f>
        <v>187800.84880000001</v>
      </c>
      <c r="H10" s="138" t="s">
        <v>181</v>
      </c>
      <c r="I10" s="37">
        <f>+DI!I77</f>
        <v>187800.84880000001</v>
      </c>
    </row>
    <row r="11" spans="1:9" x14ac:dyDescent="0.25">
      <c r="A11" s="117" t="s">
        <v>182</v>
      </c>
      <c r="B11" s="13">
        <f t="shared" si="0"/>
        <v>187800.84880000001</v>
      </c>
      <c r="H11" s="138" t="s">
        <v>182</v>
      </c>
      <c r="I11" s="37">
        <f>+DI!I78</f>
        <v>187800.84880000001</v>
      </c>
    </row>
    <row r="12" spans="1:9" x14ac:dyDescent="0.25">
      <c r="A12" s="117" t="s">
        <v>183</v>
      </c>
      <c r="B12" s="13">
        <f t="shared" si="0"/>
        <v>59305.531199999998</v>
      </c>
      <c r="H12" s="138" t="s">
        <v>183</v>
      </c>
      <c r="I12" s="37">
        <f>+DI!I79</f>
        <v>59305.531199999998</v>
      </c>
    </row>
    <row r="13" spans="1:9" x14ac:dyDescent="0.25">
      <c r="A13" s="117" t="s">
        <v>184</v>
      </c>
      <c r="B13" s="13">
        <f t="shared" si="0"/>
        <v>59305.531199999998</v>
      </c>
      <c r="H13" s="138" t="s">
        <v>184</v>
      </c>
      <c r="I13" s="37">
        <f>+DI!I80</f>
        <v>59305.531199999998</v>
      </c>
    </row>
    <row r="14" spans="1:9" x14ac:dyDescent="0.25">
      <c r="A14" s="117" t="s">
        <v>185</v>
      </c>
      <c r="B14" s="13">
        <f t="shared" si="0"/>
        <v>59305.531199999998</v>
      </c>
      <c r="H14" s="138" t="s">
        <v>185</v>
      </c>
      <c r="I14" s="37">
        <f>+DI!I81</f>
        <v>59305.531199999998</v>
      </c>
    </row>
    <row r="15" spans="1:9" x14ac:dyDescent="0.25">
      <c r="A15" s="117" t="s">
        <v>186</v>
      </c>
      <c r="B15" s="13">
        <f t="shared" si="0"/>
        <v>98842.551999999996</v>
      </c>
      <c r="H15" s="138" t="s">
        <v>186</v>
      </c>
      <c r="I15" s="37">
        <f>+DI!I82</f>
        <v>98842.551999999996</v>
      </c>
    </row>
    <row r="16" spans="1:9" x14ac:dyDescent="0.25">
      <c r="A16" s="117" t="s">
        <v>187</v>
      </c>
      <c r="B16" s="13">
        <f t="shared" si="0"/>
        <v>497178.03655999998</v>
      </c>
      <c r="H16" s="138" t="s">
        <v>237</v>
      </c>
      <c r="I16" s="37">
        <f>+DI!I83</f>
        <v>497178.03655999998</v>
      </c>
    </row>
    <row r="17" spans="1:9" x14ac:dyDescent="0.25">
      <c r="A17" s="117" t="s">
        <v>188</v>
      </c>
      <c r="B17" s="13">
        <v>7500</v>
      </c>
      <c r="H17" s="127"/>
      <c r="I17" s="128"/>
    </row>
    <row r="18" spans="1:9" x14ac:dyDescent="0.25">
      <c r="A18" s="117" t="s">
        <v>189</v>
      </c>
      <c r="B18" s="13">
        <v>30000</v>
      </c>
      <c r="H18" s="129"/>
      <c r="I18" s="128"/>
    </row>
    <row r="19" spans="1:9" x14ac:dyDescent="0.25">
      <c r="A19" s="117" t="s">
        <v>190</v>
      </c>
      <c r="B19" s="13">
        <v>30000</v>
      </c>
    </row>
    <row r="20" spans="1:9" x14ac:dyDescent="0.25">
      <c r="A20" s="114" t="s">
        <v>191</v>
      </c>
      <c r="B20" s="13">
        <v>15000</v>
      </c>
    </row>
    <row r="21" spans="1:9" x14ac:dyDescent="0.25">
      <c r="A21" s="114" t="s">
        <v>192</v>
      </c>
      <c r="B21" s="13">
        <v>5000</v>
      </c>
    </row>
    <row r="22" spans="1:9" x14ac:dyDescent="0.25">
      <c r="A22" s="114" t="s">
        <v>193</v>
      </c>
      <c r="B22" s="13">
        <v>3500</v>
      </c>
    </row>
    <row r="23" spans="1:9" x14ac:dyDescent="0.25">
      <c r="A23" s="45" t="s">
        <v>194</v>
      </c>
      <c r="B23" s="39">
        <f>+(C44/12)*'1. Inversiones'!E3</f>
        <v>0</v>
      </c>
    </row>
    <row r="24" spans="1:9" x14ac:dyDescent="0.25">
      <c r="A24" s="45" t="s">
        <v>195</v>
      </c>
      <c r="B24" s="39">
        <f>+'6. Nomina'!M10*'1. Inversiones'!E3</f>
        <v>0</v>
      </c>
    </row>
    <row r="25" spans="1:9" x14ac:dyDescent="0.25">
      <c r="A25" s="45" t="s">
        <v>196</v>
      </c>
      <c r="B25" s="39">
        <f>+B60*'1. Inversiones'!E3</f>
        <v>0</v>
      </c>
    </row>
    <row r="26" spans="1:9" ht="15.75" thickBot="1" x14ac:dyDescent="0.3">
      <c r="A26" s="45" t="s">
        <v>197</v>
      </c>
      <c r="B26" s="39">
        <f>('5. Resumen Ventas Costos'!B62/12)*1.5</f>
        <v>241464175</v>
      </c>
    </row>
    <row r="27" spans="1:9" x14ac:dyDescent="0.25">
      <c r="A27" s="45" t="s">
        <v>228</v>
      </c>
      <c r="B27" s="66">
        <f>+SUM(B9:B26)+B5+B6+B7</f>
        <v>245892713.87976</v>
      </c>
    </row>
    <row r="28" spans="1:9" x14ac:dyDescent="0.25">
      <c r="A28" s="15"/>
      <c r="B28" s="15"/>
    </row>
    <row r="29" spans="1:9" x14ac:dyDescent="0.25">
      <c r="A29" s="118" t="s">
        <v>198</v>
      </c>
      <c r="B29" s="39">
        <f>('7. Costos Fijos'!B28+'8. Gastos'!B44+'8. Gastos'!B60)*'1. Inversiones'!E3</f>
        <v>0</v>
      </c>
    </row>
    <row r="32" spans="1:9" x14ac:dyDescent="0.25">
      <c r="A32" s="388" t="s">
        <v>224</v>
      </c>
      <c r="B32" s="388"/>
      <c r="C32" s="388"/>
      <c r="D32" s="388"/>
      <c r="E32" s="388"/>
      <c r="F32" s="388"/>
      <c r="G32" s="388"/>
    </row>
    <row r="33" spans="1:7" ht="26.25" thickBot="1" x14ac:dyDescent="0.3">
      <c r="A33" s="119" t="s">
        <v>200</v>
      </c>
      <c r="B33" s="84" t="s">
        <v>201</v>
      </c>
      <c r="C33" s="84" t="s">
        <v>202</v>
      </c>
      <c r="D33" s="84" t="s">
        <v>203</v>
      </c>
      <c r="E33" s="84" t="s">
        <v>204</v>
      </c>
      <c r="F33" s="84" t="s">
        <v>205</v>
      </c>
      <c r="G33" s="84" t="s">
        <v>206</v>
      </c>
    </row>
    <row r="34" spans="1:7" x14ac:dyDescent="0.25">
      <c r="A34" s="120" t="s">
        <v>207</v>
      </c>
      <c r="B34" s="82">
        <f>+DI!Z8</f>
        <v>4792662.4466000004</v>
      </c>
      <c r="C34" s="82">
        <f>+B34*12</f>
        <v>57511949.359200001</v>
      </c>
      <c r="D34" s="121">
        <f>(C34*DI!$B$7)+C34</f>
        <v>61359498.771330483</v>
      </c>
      <c r="E34" s="121">
        <f>(D34*DI!$B$7)+D34</f>
        <v>65464449.239132494</v>
      </c>
      <c r="F34" s="121">
        <f>(E34*DI!$B$7)+E34</f>
        <v>69844020.893230453</v>
      </c>
      <c r="G34" s="121">
        <f>(F34*DI!$B$7)+F34</f>
        <v>74516585.890987575</v>
      </c>
    </row>
    <row r="35" spans="1:7" x14ac:dyDescent="0.25">
      <c r="A35" s="98" t="s">
        <v>208</v>
      </c>
      <c r="B35" s="13">
        <f>+'6. Nomina'!B23</f>
        <v>500000</v>
      </c>
      <c r="C35" s="122">
        <f>+B35*12</f>
        <v>6000000</v>
      </c>
      <c r="D35" s="121">
        <f>(C35*DI!$B$7)+C35</f>
        <v>6401400</v>
      </c>
      <c r="E35" s="121">
        <f>(D35*DI!$B$7)+D35</f>
        <v>6829653.6600000001</v>
      </c>
      <c r="F35" s="121">
        <f>(E35*DI!$B$7)+E35</f>
        <v>7286557.4898540005</v>
      </c>
      <c r="G35" s="121">
        <f>(F35*DI!$B$7)+F35</f>
        <v>7774028.1859252332</v>
      </c>
    </row>
    <row r="36" spans="1:7" x14ac:dyDescent="0.25">
      <c r="A36" s="98" t="s">
        <v>209</v>
      </c>
      <c r="B36" s="13">
        <f>+'7. Costos Fijos'!B4*0.3</f>
        <v>270000</v>
      </c>
      <c r="C36" s="122">
        <f t="shared" ref="C36:C42" si="1">+B36*12</f>
        <v>3240000</v>
      </c>
      <c r="D36" s="121">
        <f>(C36*DI!$B$7)+C36</f>
        <v>3456756</v>
      </c>
      <c r="E36" s="121">
        <f>(D36*DI!$B$7)+D36</f>
        <v>3688012.9764</v>
      </c>
      <c r="F36" s="121">
        <f>(E36*DI!$B$7)+E36</f>
        <v>3934741.04452116</v>
      </c>
      <c r="G36" s="121">
        <f>(F36*DI!$B$7)+F36</f>
        <v>4197975.2203996256</v>
      </c>
    </row>
    <row r="37" spans="1:7" x14ac:dyDescent="0.25">
      <c r="A37" s="98" t="s">
        <v>210</v>
      </c>
      <c r="B37" s="123">
        <f>+('5. Resumen Ventas Costos'!B52/1000)*4</f>
        <v>1572780</v>
      </c>
      <c r="C37" s="122">
        <f t="shared" si="1"/>
        <v>18873360</v>
      </c>
      <c r="D37" s="121">
        <f>(C37*DI!$B$7)+C37</f>
        <v>20135987.784000002</v>
      </c>
      <c r="E37" s="121">
        <f>(D37*DI!$B$7)+D37</f>
        <v>21483085.366749603</v>
      </c>
      <c r="F37" s="121">
        <f>(E37*DI!$B$7)+E37</f>
        <v>22920303.777785152</v>
      </c>
      <c r="G37" s="121">
        <f>(F37*DI!$B$7)+F37</f>
        <v>24453672.100518979</v>
      </c>
    </row>
    <row r="38" spans="1:7" x14ac:dyDescent="0.25">
      <c r="A38" s="98" t="s">
        <v>211</v>
      </c>
      <c r="B38" s="13">
        <f>+'7. Costos Fijos'!B8*0.3</f>
        <v>2965276.56</v>
      </c>
      <c r="C38" s="122">
        <f t="shared" si="1"/>
        <v>35583318.719999999</v>
      </c>
      <c r="D38" s="121">
        <f>(C38*DI!$B$7)+C38</f>
        <v>37963842.742367998</v>
      </c>
      <c r="E38" s="121">
        <f>(D38*DI!$B$7)+D38</f>
        <v>40503623.821832418</v>
      </c>
      <c r="F38" s="121">
        <f>(E38*DI!$B$7)+E38</f>
        <v>43213316.255513005</v>
      </c>
      <c r="G38" s="121">
        <f>(F38*DI!$B$7)+F38</f>
        <v>46104287.113006823</v>
      </c>
    </row>
    <row r="39" spans="1:7" x14ac:dyDescent="0.25">
      <c r="A39" s="98" t="s">
        <v>212</v>
      </c>
      <c r="B39" s="13">
        <f>+'7. Costos Fijos'!B5*0.3</f>
        <v>67500</v>
      </c>
      <c r="C39" s="122">
        <f t="shared" si="1"/>
        <v>810000</v>
      </c>
      <c r="D39" s="121">
        <f>(C39*DI!$B$7)+C39</f>
        <v>864189</v>
      </c>
      <c r="E39" s="121">
        <f>(D39*DI!$B$7)+D39</f>
        <v>922003.24410000001</v>
      </c>
      <c r="F39" s="121">
        <f>(E39*DI!$B$7)+E39</f>
        <v>983685.26113028999</v>
      </c>
      <c r="G39" s="121">
        <f>(F39*DI!$B$7)+F39</f>
        <v>1049493.8050999064</v>
      </c>
    </row>
    <row r="40" spans="1:7" x14ac:dyDescent="0.25">
      <c r="A40" s="106" t="s">
        <v>456</v>
      </c>
      <c r="B40" s="106">
        <v>240000</v>
      </c>
      <c r="C40" s="122">
        <f t="shared" si="1"/>
        <v>2880000</v>
      </c>
      <c r="D40" s="121">
        <f>(C40*DI!$B$7)+C40</f>
        <v>3072672</v>
      </c>
      <c r="E40" s="121">
        <f>(D40*DI!$B$7)+D40</f>
        <v>3278233.7568000001</v>
      </c>
      <c r="F40" s="121">
        <f>(E40*DI!$B$7)+E40</f>
        <v>3497547.5951299202</v>
      </c>
      <c r="G40" s="121">
        <f>(F40*DI!$B$7)+F40</f>
        <v>3731533.5292441119</v>
      </c>
    </row>
    <row r="41" spans="1:7" x14ac:dyDescent="0.25">
      <c r="A41" s="106" t="s">
        <v>213</v>
      </c>
      <c r="B41" s="106">
        <v>160000</v>
      </c>
      <c r="C41" s="122">
        <f t="shared" si="1"/>
        <v>1920000</v>
      </c>
      <c r="D41" s="121">
        <f>(C41*DI!$B$7)+C41</f>
        <v>2048448</v>
      </c>
      <c r="E41" s="121">
        <f>(D41*DI!$B$7)+D41</f>
        <v>2185489.1712000002</v>
      </c>
      <c r="F41" s="121">
        <f>(E41*DI!$B$7)+E41</f>
        <v>2331698.3967532804</v>
      </c>
      <c r="G41" s="121">
        <f>(F41*DI!$B$7)+F41</f>
        <v>2487689.0194960749</v>
      </c>
    </row>
    <row r="42" spans="1:7" ht="15.75" thickBot="1" x14ac:dyDescent="0.3">
      <c r="A42" s="106" t="s">
        <v>214</v>
      </c>
      <c r="B42" s="106"/>
      <c r="C42" s="122">
        <f t="shared" si="1"/>
        <v>0</v>
      </c>
      <c r="D42" s="121">
        <f>(C42*DI!$B$7)+C42</f>
        <v>0</v>
      </c>
      <c r="E42" s="121">
        <f>(D42*DI!$B$7)+D42</f>
        <v>0</v>
      </c>
      <c r="F42" s="121">
        <f>(E42*DI!$B$7)+E42</f>
        <v>0</v>
      </c>
      <c r="G42" s="121">
        <f>(F42*DI!$B$7)+F42</f>
        <v>0</v>
      </c>
    </row>
    <row r="43" spans="1:7" x14ac:dyDescent="0.25">
      <c r="A43" s="124" t="s">
        <v>4</v>
      </c>
      <c r="B43" s="124">
        <f t="shared" ref="B43:G43" si="2">SUM(B34:B42)</f>
        <v>10568219.0066</v>
      </c>
      <c r="C43" s="124">
        <f t="shared" si="2"/>
        <v>126818628.0792</v>
      </c>
      <c r="D43" s="124">
        <f t="shared" si="2"/>
        <v>135302794.2976985</v>
      </c>
      <c r="E43" s="124">
        <f t="shared" si="2"/>
        <v>144354551.23621452</v>
      </c>
      <c r="F43" s="124">
        <f t="shared" si="2"/>
        <v>154011870.71391726</v>
      </c>
      <c r="G43" s="124">
        <f t="shared" si="2"/>
        <v>164315264.86467835</v>
      </c>
    </row>
    <row r="44" spans="1:7" x14ac:dyDescent="0.25">
      <c r="A44" s="125" t="s">
        <v>215</v>
      </c>
      <c r="B44" s="126">
        <f>+SUM(B35:B42)</f>
        <v>5775556.5600000005</v>
      </c>
      <c r="C44" s="126">
        <f t="shared" ref="C44:G44" si="3">+SUM(C35:C42)</f>
        <v>69306678.719999999</v>
      </c>
      <c r="D44" s="126">
        <f t="shared" si="3"/>
        <v>73943295.526367992</v>
      </c>
      <c r="E44" s="126">
        <f t="shared" si="3"/>
        <v>78890101.997082025</v>
      </c>
      <c r="F44" s="126">
        <f t="shared" si="3"/>
        <v>84167849.820686817</v>
      </c>
      <c r="G44" s="126">
        <f t="shared" si="3"/>
        <v>89798678.973690748</v>
      </c>
    </row>
    <row r="45" spans="1:7" x14ac:dyDescent="0.25">
      <c r="B45" s="105"/>
      <c r="C45" s="105"/>
      <c r="D45" s="105"/>
      <c r="E45" s="105"/>
      <c r="F45" s="105"/>
      <c r="G45" s="105"/>
    </row>
    <row r="46" spans="1:7" x14ac:dyDescent="0.25">
      <c r="B46" s="105"/>
      <c r="C46" s="105"/>
      <c r="D46" s="105"/>
      <c r="E46" s="105"/>
      <c r="F46" s="105"/>
      <c r="G46" s="105"/>
    </row>
    <row r="47" spans="1:7" x14ac:dyDescent="0.25">
      <c r="A47" s="388" t="s">
        <v>225</v>
      </c>
      <c r="B47" s="388"/>
      <c r="C47" s="388"/>
      <c r="D47" s="388"/>
      <c r="E47" s="388"/>
      <c r="F47" s="388"/>
      <c r="G47" s="388"/>
    </row>
    <row r="48" spans="1:7" ht="25.5" x14ac:dyDescent="0.25">
      <c r="A48" s="119" t="s">
        <v>200</v>
      </c>
      <c r="B48" s="84" t="s">
        <v>201</v>
      </c>
      <c r="C48" s="84" t="s">
        <v>202</v>
      </c>
      <c r="D48" s="84" t="s">
        <v>203</v>
      </c>
      <c r="E48" s="84" t="s">
        <v>204</v>
      </c>
      <c r="F48" s="84" t="s">
        <v>205</v>
      </c>
      <c r="G48" s="84" t="s">
        <v>206</v>
      </c>
    </row>
    <row r="49" spans="1:7" x14ac:dyDescent="0.25">
      <c r="A49" s="106" t="s">
        <v>216</v>
      </c>
      <c r="B49" s="106">
        <v>270000</v>
      </c>
      <c r="C49" s="122">
        <f t="shared" ref="C49:C58" si="4">+B49*12</f>
        <v>3240000</v>
      </c>
      <c r="D49" s="121">
        <f>(C49*DI!$B$7)+C49</f>
        <v>3456756</v>
      </c>
      <c r="E49" s="121">
        <f>(D49*DI!$B$7)+D49</f>
        <v>3688012.9764</v>
      </c>
      <c r="F49" s="121">
        <f>(E49*DI!$B$7)+E49</f>
        <v>3934741.04452116</v>
      </c>
      <c r="G49" s="121">
        <f>(F49*DI!$B$7)+F49</f>
        <v>4197975.2203996256</v>
      </c>
    </row>
    <row r="50" spans="1:7" x14ac:dyDescent="0.25">
      <c r="A50" s="106" t="s">
        <v>217</v>
      </c>
      <c r="B50" s="106">
        <v>890000</v>
      </c>
      <c r="C50" s="122">
        <f t="shared" si="4"/>
        <v>10680000</v>
      </c>
      <c r="D50" s="121">
        <f>(C50*DI!$B$7)+C50</f>
        <v>11394492</v>
      </c>
      <c r="E50" s="121">
        <f>(D50*DI!$B$7)+D50</f>
        <v>12156783.514800001</v>
      </c>
      <c r="F50" s="121">
        <f>(E50*DI!$B$7)+E50</f>
        <v>12970072.331940122</v>
      </c>
      <c r="G50" s="121">
        <f>(F50*DI!$B$7)+F50</f>
        <v>13837770.170946917</v>
      </c>
    </row>
    <row r="51" spans="1:7" x14ac:dyDescent="0.25">
      <c r="A51" s="106" t="s">
        <v>230</v>
      </c>
      <c r="B51" s="106">
        <v>110000</v>
      </c>
      <c r="C51" s="122">
        <f t="shared" si="4"/>
        <v>1320000</v>
      </c>
      <c r="D51" s="121">
        <f>(C51*DI!$B$7)+C51</f>
        <v>1408308</v>
      </c>
      <c r="E51" s="121">
        <f>(D51*DI!$B$7)+D51</f>
        <v>1502523.8052000001</v>
      </c>
      <c r="F51" s="121">
        <f>(E51*DI!$B$7)+E51</f>
        <v>1603042.64776788</v>
      </c>
      <c r="G51" s="121">
        <f>(F51*DI!$B$7)+F51</f>
        <v>1710286.2009035512</v>
      </c>
    </row>
    <row r="52" spans="1:7" x14ac:dyDescent="0.25">
      <c r="A52" s="106" t="s">
        <v>219</v>
      </c>
      <c r="B52" s="106"/>
      <c r="C52" s="122">
        <f t="shared" si="4"/>
        <v>0</v>
      </c>
      <c r="D52" s="121">
        <f>(C52*DI!$B$7)+C52</f>
        <v>0</v>
      </c>
      <c r="E52" s="121">
        <f>(D52*DI!$B$7)+D52</f>
        <v>0</v>
      </c>
      <c r="F52" s="121">
        <f>(E52*DI!$B$7)+E52</f>
        <v>0</v>
      </c>
      <c r="G52" s="121">
        <f>(F52*DI!$B$7)+F52</f>
        <v>0</v>
      </c>
    </row>
    <row r="53" spans="1:7" x14ac:dyDescent="0.25">
      <c r="A53" s="106" t="s">
        <v>231</v>
      </c>
      <c r="B53" s="106">
        <v>220000</v>
      </c>
      <c r="C53" s="122">
        <f t="shared" si="4"/>
        <v>2640000</v>
      </c>
      <c r="D53" s="121">
        <f>(C53*DI!$B$7)+C53</f>
        <v>2816616</v>
      </c>
      <c r="E53" s="121">
        <f>(D53*DI!$B$7)+D53</f>
        <v>3005047.6104000001</v>
      </c>
      <c r="F53" s="121">
        <f>(E53*DI!$B$7)+E53</f>
        <v>3206085.29553576</v>
      </c>
      <c r="G53" s="121">
        <f>(F53*DI!$B$7)+F53</f>
        <v>3420572.4018071024</v>
      </c>
    </row>
    <row r="54" spans="1:7" x14ac:dyDescent="0.25">
      <c r="A54" s="98" t="s">
        <v>218</v>
      </c>
      <c r="B54" s="98">
        <v>9500</v>
      </c>
      <c r="C54" s="122">
        <f t="shared" si="4"/>
        <v>114000</v>
      </c>
      <c r="D54" s="121">
        <f>(C54*DI!$B$7)+C54</f>
        <v>121626.6</v>
      </c>
      <c r="E54" s="121">
        <f>(D54*DI!$B$7)+D54</f>
        <v>129763.41954</v>
      </c>
      <c r="F54" s="121">
        <f>(E54*DI!$B$7)+E54</f>
        <v>138444.592307226</v>
      </c>
      <c r="G54" s="121">
        <f>(F54*DI!$B$7)+F54</f>
        <v>147706.53553257944</v>
      </c>
    </row>
    <row r="55" spans="1:7" x14ac:dyDescent="0.25">
      <c r="A55" s="98" t="s">
        <v>220</v>
      </c>
      <c r="B55" s="13">
        <f>+'7. Costos Fijos'!B4*0.3</f>
        <v>270000</v>
      </c>
      <c r="C55" s="122">
        <f t="shared" si="4"/>
        <v>3240000</v>
      </c>
      <c r="D55" s="121">
        <f>(C55*DI!$B$7)+C55</f>
        <v>3456756</v>
      </c>
      <c r="E55" s="121">
        <f>(D55*DI!$B$7)+D55</f>
        <v>3688012.9764</v>
      </c>
      <c r="F55" s="121">
        <f>(E55*DI!$B$7)+E55</f>
        <v>3934741.04452116</v>
      </c>
      <c r="G55" s="121">
        <f>(F55*DI!$B$7)+F55</f>
        <v>4197975.2203996256</v>
      </c>
    </row>
    <row r="56" spans="1:7" x14ac:dyDescent="0.25">
      <c r="A56" s="98" t="s">
        <v>221</v>
      </c>
      <c r="B56" s="13">
        <f>+'7. Costos Fijos'!B4*0.3</f>
        <v>270000</v>
      </c>
      <c r="C56" s="122">
        <f t="shared" si="4"/>
        <v>3240000</v>
      </c>
      <c r="D56" s="121">
        <f>(C56*DI!$B$7)+C56</f>
        <v>3456756</v>
      </c>
      <c r="E56" s="121">
        <f>(D56*DI!$B$7)+D56</f>
        <v>3688012.9764</v>
      </c>
      <c r="F56" s="121">
        <f>(E56*DI!$B$7)+E56</f>
        <v>3934741.04452116</v>
      </c>
      <c r="G56" s="121">
        <f>(F56*DI!$B$7)+F56</f>
        <v>4197975.2203996256</v>
      </c>
    </row>
    <row r="57" spans="1:7" ht="15.75" thickBot="1" x14ac:dyDescent="0.3">
      <c r="A57" s="98" t="s">
        <v>222</v>
      </c>
      <c r="B57" s="13">
        <f>+'7. Costos Fijos'!B8*0.3</f>
        <v>2965276.56</v>
      </c>
      <c r="C57" s="122">
        <f t="shared" si="4"/>
        <v>35583318.719999999</v>
      </c>
      <c r="D57" s="121">
        <f>(C57*DI!$B$7)+C57</f>
        <v>37963842.742367998</v>
      </c>
      <c r="E57" s="121">
        <f>(D57*DI!$B$7)+D57</f>
        <v>40503623.821832418</v>
      </c>
      <c r="F57" s="121">
        <f>(E57*DI!$B$7)+E57</f>
        <v>43213316.255513005</v>
      </c>
      <c r="G57" s="121">
        <f>(F57*DI!$B$7)+F57</f>
        <v>46104287.113006823</v>
      </c>
    </row>
    <row r="58" spans="1:7" ht="15.75" thickBot="1" x14ac:dyDescent="0.3">
      <c r="A58" s="107" t="s">
        <v>223</v>
      </c>
      <c r="B58" s="66">
        <f>+DI!Y8+'6. Nomina'!B31</f>
        <v>3652942.4466000004</v>
      </c>
      <c r="C58" s="122">
        <f t="shared" si="4"/>
        <v>43835309.359200001</v>
      </c>
      <c r="D58" s="121">
        <f>(C58*DI!$B$7)+C58</f>
        <v>46767891.555330478</v>
      </c>
      <c r="E58" s="121">
        <f>(D58*DI!$B$7)+D58</f>
        <v>49896663.500382088</v>
      </c>
      <c r="F58" s="121">
        <f>(E58*DI!$B$7)+E58</f>
        <v>53234750.288557649</v>
      </c>
      <c r="G58" s="121">
        <f>(F58*DI!$B$7)+F58</f>
        <v>56796155.082862154</v>
      </c>
    </row>
    <row r="59" spans="1:7" x14ac:dyDescent="0.25">
      <c r="A59" s="66" t="s">
        <v>4</v>
      </c>
      <c r="B59" s="64">
        <f>SUM(B49:B58)</f>
        <v>8657719.0066</v>
      </c>
      <c r="C59" s="64">
        <f t="shared" ref="C59:G59" si="5">SUM(C49:C58)</f>
        <v>103892628.0792</v>
      </c>
      <c r="D59" s="64">
        <f t="shared" si="5"/>
        <v>110843044.89769848</v>
      </c>
      <c r="E59" s="64">
        <f t="shared" si="5"/>
        <v>118258444.60135451</v>
      </c>
      <c r="F59" s="64">
        <f t="shared" si="5"/>
        <v>126169934.54518512</v>
      </c>
      <c r="G59" s="64">
        <f t="shared" si="5"/>
        <v>134610703.16625801</v>
      </c>
    </row>
    <row r="60" spans="1:7" x14ac:dyDescent="0.25">
      <c r="A60" s="125" t="s">
        <v>234</v>
      </c>
      <c r="B60" s="136">
        <f>+B59-B58</f>
        <v>5004776.5599999996</v>
      </c>
      <c r="C60" s="136">
        <f t="shared" ref="C60:G60" si="6">+C59-C58</f>
        <v>60057318.719999999</v>
      </c>
      <c r="D60" s="136">
        <f t="shared" si="6"/>
        <v>64075153.342367999</v>
      </c>
      <c r="E60" s="136">
        <f t="shared" si="6"/>
        <v>68361781.100972414</v>
      </c>
      <c r="F60" s="136">
        <f t="shared" si="6"/>
        <v>72935184.25662747</v>
      </c>
      <c r="G60" s="136">
        <f t="shared" si="6"/>
        <v>77814548.083395854</v>
      </c>
    </row>
  </sheetData>
  <sheetProtection algorithmName="SHA-512" hashValue="hofiP/oEnlYNEa05QSCjTh9x87N4OxkIMnM4u5uRbcP/VJQW3LwCDtVKHmpgMjWFpwZ67el0/XzsiFM5uKmp3w==" saltValue="ANgJgrLAnAJqZNCwNnDGxg==" spinCount="100000" sheet="1" objects="1" scenarios="1"/>
  <mergeCells count="4">
    <mergeCell ref="A32:G32"/>
    <mergeCell ref="A47:G47"/>
    <mergeCell ref="A3:B3"/>
    <mergeCell ref="A1:F1"/>
  </mergeCells>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9D955C-DB7F-4617-A86C-4300DBF5FE30}">
  <sheetPr codeName="Hoja16">
    <tabColor rgb="FF92D050"/>
  </sheetPr>
  <dimension ref="A1:F11"/>
  <sheetViews>
    <sheetView showGridLines="0" zoomScaleNormal="100" workbookViewId="0">
      <selection activeCell="G1" sqref="G1"/>
    </sheetView>
  </sheetViews>
  <sheetFormatPr baseColWidth="10" defaultColWidth="11" defaultRowHeight="18.75" x14ac:dyDescent="0.3"/>
  <cols>
    <col min="1" max="1" width="11" style="141"/>
    <col min="2" max="2" width="49.140625" style="141" customWidth="1"/>
    <col min="3" max="5" width="24.42578125" style="141" customWidth="1"/>
    <col min="6" max="16384" width="11" style="141"/>
  </cols>
  <sheetData>
    <row r="1" spans="1:6" ht="57" customHeight="1" x14ac:dyDescent="0.3">
      <c r="A1" s="301" t="str">
        <f>+'1. Inversiones'!A1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01"/>
      <c r="C1" s="301"/>
      <c r="D1" s="301"/>
      <c r="E1" s="301"/>
      <c r="F1" s="301"/>
    </row>
    <row r="3" spans="1:6" x14ac:dyDescent="0.3">
      <c r="B3" s="390" t="s">
        <v>238</v>
      </c>
      <c r="C3" s="390" t="s">
        <v>239</v>
      </c>
      <c r="D3" s="390" t="s">
        <v>240</v>
      </c>
      <c r="E3" s="392" t="s">
        <v>243</v>
      </c>
    </row>
    <row r="4" spans="1:6" x14ac:dyDescent="0.3">
      <c r="B4" s="390"/>
      <c r="C4" s="390"/>
      <c r="D4" s="390"/>
      <c r="E4" s="392"/>
    </row>
    <row r="5" spans="1:6" x14ac:dyDescent="0.3">
      <c r="B5" s="391"/>
      <c r="C5" s="391"/>
      <c r="D5" s="391"/>
      <c r="E5" s="393"/>
    </row>
    <row r="6" spans="1:6" x14ac:dyDescent="0.3">
      <c r="B6" s="142" t="s">
        <v>198</v>
      </c>
      <c r="C6" s="143">
        <f>+'8. Gastos'!B29</f>
        <v>0</v>
      </c>
      <c r="D6" s="143">
        <f>+C6*0.1</f>
        <v>0</v>
      </c>
      <c r="E6" s="143">
        <f>+C6-D6</f>
        <v>0</v>
      </c>
    </row>
    <row r="7" spans="1:6" x14ac:dyDescent="0.3">
      <c r="B7" s="144" t="s">
        <v>244</v>
      </c>
      <c r="C7" s="143">
        <f>+'8. Gastos'!B27</f>
        <v>245892713.87976</v>
      </c>
      <c r="D7" s="143">
        <f>+C7*0.1</f>
        <v>24589271.387976002</v>
      </c>
      <c r="E7" s="143">
        <f>+C7-D7</f>
        <v>221303442.49178401</v>
      </c>
    </row>
    <row r="8" spans="1:6" x14ac:dyDescent="0.3">
      <c r="B8" s="142" t="s">
        <v>245</v>
      </c>
      <c r="C8" s="143">
        <f>+'1. Inversiones'!E41</f>
        <v>98842552</v>
      </c>
      <c r="D8" s="143">
        <f>+C8*0.1</f>
        <v>9884255.2000000011</v>
      </c>
      <c r="E8" s="143">
        <f>+C8-D8</f>
        <v>88958296.799999997</v>
      </c>
    </row>
    <row r="9" spans="1:6" x14ac:dyDescent="0.3">
      <c r="B9" s="145" t="s">
        <v>241</v>
      </c>
      <c r="C9" s="146">
        <f>SUM(C6:C8)</f>
        <v>344735265.87976003</v>
      </c>
      <c r="D9" s="146">
        <f>SUM(D6:D8)</f>
        <v>34473526.587976001</v>
      </c>
      <c r="E9" s="147">
        <f>SUM(E6:E8)</f>
        <v>310261739.29178399</v>
      </c>
    </row>
    <row r="10" spans="1:6" x14ac:dyDescent="0.3">
      <c r="B10" s="389" t="s">
        <v>242</v>
      </c>
      <c r="C10" s="389"/>
      <c r="D10" s="389"/>
      <c r="E10" s="389"/>
    </row>
    <row r="11" spans="1:6" ht="32.25" customHeight="1" x14ac:dyDescent="0.3">
      <c r="B11" s="389"/>
      <c r="C11" s="389"/>
      <c r="D11" s="389"/>
      <c r="E11" s="389"/>
    </row>
  </sheetData>
  <sheetProtection algorithmName="SHA-512" hashValue="U/ZJpbT1aLZcyUKImH/ZO3688RAcAPsVzUOyaFO4NnMBjSQZiBTZV1610Iwx0j3prjZbMSkbGPFR+/GpL2zGxw==" saltValue="iVvryAXAx3w+QLb7r+cAJg==" spinCount="100000" sheet="1" objects="1" scenarios="1"/>
  <mergeCells count="6">
    <mergeCell ref="B10:E11"/>
    <mergeCell ref="A1:F1"/>
    <mergeCell ref="B3:B5"/>
    <mergeCell ref="C3:C5"/>
    <mergeCell ref="D3:D5"/>
    <mergeCell ref="E3:E5"/>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88E9-4724-4DAC-BCE9-EA3946078AF0}">
  <sheetPr codeName="Hoja18"/>
  <dimension ref="A1:DS91"/>
  <sheetViews>
    <sheetView showGridLines="0" zoomScale="115" zoomScaleNormal="115" workbookViewId="0">
      <selection activeCell="D8" sqref="D8:E8"/>
    </sheetView>
  </sheetViews>
  <sheetFormatPr baseColWidth="10" defaultRowHeight="11.25" x14ac:dyDescent="0.2"/>
  <cols>
    <col min="1" max="1" width="10.85546875" style="178" customWidth="1"/>
    <col min="2" max="2" width="11.140625" style="178" customWidth="1"/>
    <col min="3" max="3" width="11.5703125" style="178" customWidth="1"/>
    <col min="4" max="4" width="12.42578125" style="178" customWidth="1"/>
    <col min="5" max="5" width="11.5703125" style="178" bestFit="1" customWidth="1"/>
    <col min="6" max="6" width="13.42578125" style="178" bestFit="1" customWidth="1"/>
    <col min="7" max="8" width="11" style="178"/>
    <col min="9" max="9" width="12.5703125" style="178" customWidth="1"/>
    <col min="10" max="63" width="11" style="178"/>
    <col min="64" max="123" width="0" style="178" hidden="1" customWidth="1"/>
    <col min="124" max="256" width="11" style="178"/>
    <col min="257" max="257" width="10.85546875" style="178" customWidth="1"/>
    <col min="258" max="258" width="11.140625" style="178" customWidth="1"/>
    <col min="259" max="259" width="11.5703125" style="178" customWidth="1"/>
    <col min="260" max="260" width="11" style="178"/>
    <col min="261" max="261" width="11.5703125" style="178" bestFit="1" customWidth="1"/>
    <col min="262" max="262" width="13.42578125" style="178" bestFit="1" customWidth="1"/>
    <col min="263" max="264" width="11" style="178"/>
    <col min="265" max="265" width="12.5703125" style="178" customWidth="1"/>
    <col min="266" max="512" width="11" style="178"/>
    <col min="513" max="513" width="10.85546875" style="178" customWidth="1"/>
    <col min="514" max="514" width="11.140625" style="178" customWidth="1"/>
    <col min="515" max="515" width="11.5703125" style="178" customWidth="1"/>
    <col min="516" max="516" width="11" style="178"/>
    <col min="517" max="517" width="11.5703125" style="178" bestFit="1" customWidth="1"/>
    <col min="518" max="518" width="13.42578125" style="178" bestFit="1" customWidth="1"/>
    <col min="519" max="520" width="11" style="178"/>
    <col min="521" max="521" width="12.5703125" style="178" customWidth="1"/>
    <col min="522" max="768" width="11" style="178"/>
    <col min="769" max="769" width="10.85546875" style="178" customWidth="1"/>
    <col min="770" max="770" width="11.140625" style="178" customWidth="1"/>
    <col min="771" max="771" width="11.5703125" style="178" customWidth="1"/>
    <col min="772" max="772" width="11" style="178"/>
    <col min="773" max="773" width="11.5703125" style="178" bestFit="1" customWidth="1"/>
    <col min="774" max="774" width="13.42578125" style="178" bestFit="1" customWidth="1"/>
    <col min="775" max="776" width="11" style="178"/>
    <col min="777" max="777" width="12.5703125" style="178" customWidth="1"/>
    <col min="778" max="1024" width="11" style="178"/>
    <col min="1025" max="1025" width="10.85546875" style="178" customWidth="1"/>
    <col min="1026" max="1026" width="11.140625" style="178" customWidth="1"/>
    <col min="1027" max="1027" width="11.5703125" style="178" customWidth="1"/>
    <col min="1028" max="1028" width="11" style="178"/>
    <col min="1029" max="1029" width="11.5703125" style="178" bestFit="1" customWidth="1"/>
    <col min="1030" max="1030" width="13.42578125" style="178" bestFit="1" customWidth="1"/>
    <col min="1031" max="1032" width="11" style="178"/>
    <col min="1033" max="1033" width="12.5703125" style="178" customWidth="1"/>
    <col min="1034" max="1280" width="11" style="178"/>
    <col min="1281" max="1281" width="10.85546875" style="178" customWidth="1"/>
    <col min="1282" max="1282" width="11.140625" style="178" customWidth="1"/>
    <col min="1283" max="1283" width="11.5703125" style="178" customWidth="1"/>
    <col min="1284" max="1284" width="11" style="178"/>
    <col min="1285" max="1285" width="11.5703125" style="178" bestFit="1" customWidth="1"/>
    <col min="1286" max="1286" width="13.42578125" style="178" bestFit="1" customWidth="1"/>
    <col min="1287" max="1288" width="11" style="178"/>
    <col min="1289" max="1289" width="12.5703125" style="178" customWidth="1"/>
    <col min="1290" max="1536" width="11" style="178"/>
    <col min="1537" max="1537" width="10.85546875" style="178" customWidth="1"/>
    <col min="1538" max="1538" width="11.140625" style="178" customWidth="1"/>
    <col min="1539" max="1539" width="11.5703125" style="178" customWidth="1"/>
    <col min="1540" max="1540" width="11" style="178"/>
    <col min="1541" max="1541" width="11.5703125" style="178" bestFit="1" customWidth="1"/>
    <col min="1542" max="1542" width="13.42578125" style="178" bestFit="1" customWidth="1"/>
    <col min="1543" max="1544" width="11" style="178"/>
    <col min="1545" max="1545" width="12.5703125" style="178" customWidth="1"/>
    <col min="1546" max="1792" width="11" style="178"/>
    <col min="1793" max="1793" width="10.85546875" style="178" customWidth="1"/>
    <col min="1794" max="1794" width="11.140625" style="178" customWidth="1"/>
    <col min="1795" max="1795" width="11.5703125" style="178" customWidth="1"/>
    <col min="1796" max="1796" width="11" style="178"/>
    <col min="1797" max="1797" width="11.5703125" style="178" bestFit="1" customWidth="1"/>
    <col min="1798" max="1798" width="13.42578125" style="178" bestFit="1" customWidth="1"/>
    <col min="1799" max="1800" width="11" style="178"/>
    <col min="1801" max="1801" width="12.5703125" style="178" customWidth="1"/>
    <col min="1802" max="2048" width="11" style="178"/>
    <col min="2049" max="2049" width="10.85546875" style="178" customWidth="1"/>
    <col min="2050" max="2050" width="11.140625" style="178" customWidth="1"/>
    <col min="2051" max="2051" width="11.5703125" style="178" customWidth="1"/>
    <col min="2052" max="2052" width="11" style="178"/>
    <col min="2053" max="2053" width="11.5703125" style="178" bestFit="1" customWidth="1"/>
    <col min="2054" max="2054" width="13.42578125" style="178" bestFit="1" customWidth="1"/>
    <col min="2055" max="2056" width="11" style="178"/>
    <col min="2057" max="2057" width="12.5703125" style="178" customWidth="1"/>
    <col min="2058" max="2304" width="11" style="178"/>
    <col min="2305" max="2305" width="10.85546875" style="178" customWidth="1"/>
    <col min="2306" max="2306" width="11.140625" style="178" customWidth="1"/>
    <col min="2307" max="2307" width="11.5703125" style="178" customWidth="1"/>
    <col min="2308" max="2308" width="11" style="178"/>
    <col min="2309" max="2309" width="11.5703125" style="178" bestFit="1" customWidth="1"/>
    <col min="2310" max="2310" width="13.42578125" style="178" bestFit="1" customWidth="1"/>
    <col min="2311" max="2312" width="11" style="178"/>
    <col min="2313" max="2313" width="12.5703125" style="178" customWidth="1"/>
    <col min="2314" max="2560" width="11" style="178"/>
    <col min="2561" max="2561" width="10.85546875" style="178" customWidth="1"/>
    <col min="2562" max="2562" width="11.140625" style="178" customWidth="1"/>
    <col min="2563" max="2563" width="11.5703125" style="178" customWidth="1"/>
    <col min="2564" max="2564" width="11" style="178"/>
    <col min="2565" max="2565" width="11.5703125" style="178" bestFit="1" customWidth="1"/>
    <col min="2566" max="2566" width="13.42578125" style="178" bestFit="1" customWidth="1"/>
    <col min="2567" max="2568" width="11" style="178"/>
    <col min="2569" max="2569" width="12.5703125" style="178" customWidth="1"/>
    <col min="2570" max="2816" width="11" style="178"/>
    <col min="2817" max="2817" width="10.85546875" style="178" customWidth="1"/>
    <col min="2818" max="2818" width="11.140625" style="178" customWidth="1"/>
    <col min="2819" max="2819" width="11.5703125" style="178" customWidth="1"/>
    <col min="2820" max="2820" width="11" style="178"/>
    <col min="2821" max="2821" width="11.5703125" style="178" bestFit="1" customWidth="1"/>
    <col min="2822" max="2822" width="13.42578125" style="178" bestFit="1" customWidth="1"/>
    <col min="2823" max="2824" width="11" style="178"/>
    <col min="2825" max="2825" width="12.5703125" style="178" customWidth="1"/>
    <col min="2826" max="3072" width="11" style="178"/>
    <col min="3073" max="3073" width="10.85546875" style="178" customWidth="1"/>
    <col min="3074" max="3074" width="11.140625" style="178" customWidth="1"/>
    <col min="3075" max="3075" width="11.5703125" style="178" customWidth="1"/>
    <col min="3076" max="3076" width="11" style="178"/>
    <col min="3077" max="3077" width="11.5703125" style="178" bestFit="1" customWidth="1"/>
    <col min="3078" max="3078" width="13.42578125" style="178" bestFit="1" customWidth="1"/>
    <col min="3079" max="3080" width="11" style="178"/>
    <col min="3081" max="3081" width="12.5703125" style="178" customWidth="1"/>
    <col min="3082" max="3328" width="11" style="178"/>
    <col min="3329" max="3329" width="10.85546875" style="178" customWidth="1"/>
    <col min="3330" max="3330" width="11.140625" style="178" customWidth="1"/>
    <col min="3331" max="3331" width="11.5703125" style="178" customWidth="1"/>
    <col min="3332" max="3332" width="11" style="178"/>
    <col min="3333" max="3333" width="11.5703125" style="178" bestFit="1" customWidth="1"/>
    <col min="3334" max="3334" width="13.42578125" style="178" bestFit="1" customWidth="1"/>
    <col min="3335" max="3336" width="11" style="178"/>
    <col min="3337" max="3337" width="12.5703125" style="178" customWidth="1"/>
    <col min="3338" max="3584" width="11" style="178"/>
    <col min="3585" max="3585" width="10.85546875" style="178" customWidth="1"/>
    <col min="3586" max="3586" width="11.140625" style="178" customWidth="1"/>
    <col min="3587" max="3587" width="11.5703125" style="178" customWidth="1"/>
    <col min="3588" max="3588" width="11" style="178"/>
    <col min="3589" max="3589" width="11.5703125" style="178" bestFit="1" customWidth="1"/>
    <col min="3590" max="3590" width="13.42578125" style="178" bestFit="1" customWidth="1"/>
    <col min="3591" max="3592" width="11" style="178"/>
    <col min="3593" max="3593" width="12.5703125" style="178" customWidth="1"/>
    <col min="3594" max="3840" width="11" style="178"/>
    <col min="3841" max="3841" width="10.85546875" style="178" customWidth="1"/>
    <col min="3842" max="3842" width="11.140625" style="178" customWidth="1"/>
    <col min="3843" max="3843" width="11.5703125" style="178" customWidth="1"/>
    <col min="3844" max="3844" width="11" style="178"/>
    <col min="3845" max="3845" width="11.5703125" style="178" bestFit="1" customWidth="1"/>
    <col min="3846" max="3846" width="13.42578125" style="178" bestFit="1" customWidth="1"/>
    <col min="3847" max="3848" width="11" style="178"/>
    <col min="3849" max="3849" width="12.5703125" style="178" customWidth="1"/>
    <col min="3850" max="4096" width="11" style="178"/>
    <col min="4097" max="4097" width="10.85546875" style="178" customWidth="1"/>
    <col min="4098" max="4098" width="11.140625" style="178" customWidth="1"/>
    <col min="4099" max="4099" width="11.5703125" style="178" customWidth="1"/>
    <col min="4100" max="4100" width="11" style="178"/>
    <col min="4101" max="4101" width="11.5703125" style="178" bestFit="1" customWidth="1"/>
    <col min="4102" max="4102" width="13.42578125" style="178" bestFit="1" customWidth="1"/>
    <col min="4103" max="4104" width="11" style="178"/>
    <col min="4105" max="4105" width="12.5703125" style="178" customWidth="1"/>
    <col min="4106" max="4352" width="11" style="178"/>
    <col min="4353" max="4353" width="10.85546875" style="178" customWidth="1"/>
    <col min="4354" max="4354" width="11.140625" style="178" customWidth="1"/>
    <col min="4355" max="4355" width="11.5703125" style="178" customWidth="1"/>
    <col min="4356" max="4356" width="11" style="178"/>
    <col min="4357" max="4357" width="11.5703125" style="178" bestFit="1" customWidth="1"/>
    <col min="4358" max="4358" width="13.42578125" style="178" bestFit="1" customWidth="1"/>
    <col min="4359" max="4360" width="11" style="178"/>
    <col min="4361" max="4361" width="12.5703125" style="178" customWidth="1"/>
    <col min="4362" max="4608" width="11" style="178"/>
    <col min="4609" max="4609" width="10.85546875" style="178" customWidth="1"/>
    <col min="4610" max="4610" width="11.140625" style="178" customWidth="1"/>
    <col min="4611" max="4611" width="11.5703125" style="178" customWidth="1"/>
    <col min="4612" max="4612" width="11" style="178"/>
    <col min="4613" max="4613" width="11.5703125" style="178" bestFit="1" customWidth="1"/>
    <col min="4614" max="4614" width="13.42578125" style="178" bestFit="1" customWidth="1"/>
    <col min="4615" max="4616" width="11" style="178"/>
    <col min="4617" max="4617" width="12.5703125" style="178" customWidth="1"/>
    <col min="4618" max="4864" width="11" style="178"/>
    <col min="4865" max="4865" width="10.85546875" style="178" customWidth="1"/>
    <col min="4866" max="4866" width="11.140625" style="178" customWidth="1"/>
    <col min="4867" max="4867" width="11.5703125" style="178" customWidth="1"/>
    <col min="4868" max="4868" width="11" style="178"/>
    <col min="4869" max="4869" width="11.5703125" style="178" bestFit="1" customWidth="1"/>
    <col min="4870" max="4870" width="13.42578125" style="178" bestFit="1" customWidth="1"/>
    <col min="4871" max="4872" width="11" style="178"/>
    <col min="4873" max="4873" width="12.5703125" style="178" customWidth="1"/>
    <col min="4874" max="5120" width="11" style="178"/>
    <col min="5121" max="5121" width="10.85546875" style="178" customWidth="1"/>
    <col min="5122" max="5122" width="11.140625" style="178" customWidth="1"/>
    <col min="5123" max="5123" width="11.5703125" style="178" customWidth="1"/>
    <col min="5124" max="5124" width="11" style="178"/>
    <col min="5125" max="5125" width="11.5703125" style="178" bestFit="1" customWidth="1"/>
    <col min="5126" max="5126" width="13.42578125" style="178" bestFit="1" customWidth="1"/>
    <col min="5127" max="5128" width="11" style="178"/>
    <col min="5129" max="5129" width="12.5703125" style="178" customWidth="1"/>
    <col min="5130" max="5376" width="11" style="178"/>
    <col min="5377" max="5377" width="10.85546875" style="178" customWidth="1"/>
    <col min="5378" max="5378" width="11.140625" style="178" customWidth="1"/>
    <col min="5379" max="5379" width="11.5703125" style="178" customWidth="1"/>
    <col min="5380" max="5380" width="11" style="178"/>
    <col min="5381" max="5381" width="11.5703125" style="178" bestFit="1" customWidth="1"/>
    <col min="5382" max="5382" width="13.42578125" style="178" bestFit="1" customWidth="1"/>
    <col min="5383" max="5384" width="11" style="178"/>
    <col min="5385" max="5385" width="12.5703125" style="178" customWidth="1"/>
    <col min="5386" max="5632" width="11" style="178"/>
    <col min="5633" max="5633" width="10.85546875" style="178" customWidth="1"/>
    <col min="5634" max="5634" width="11.140625" style="178" customWidth="1"/>
    <col min="5635" max="5635" width="11.5703125" style="178" customWidth="1"/>
    <col min="5636" max="5636" width="11" style="178"/>
    <col min="5637" max="5637" width="11.5703125" style="178" bestFit="1" customWidth="1"/>
    <col min="5638" max="5638" width="13.42578125" style="178" bestFit="1" customWidth="1"/>
    <col min="5639" max="5640" width="11" style="178"/>
    <col min="5641" max="5641" width="12.5703125" style="178" customWidth="1"/>
    <col min="5642" max="5888" width="11" style="178"/>
    <col min="5889" max="5889" width="10.85546875" style="178" customWidth="1"/>
    <col min="5890" max="5890" width="11.140625" style="178" customWidth="1"/>
    <col min="5891" max="5891" width="11.5703125" style="178" customWidth="1"/>
    <col min="5892" max="5892" width="11" style="178"/>
    <col min="5893" max="5893" width="11.5703125" style="178" bestFit="1" customWidth="1"/>
    <col min="5894" max="5894" width="13.42578125" style="178" bestFit="1" customWidth="1"/>
    <col min="5895" max="5896" width="11" style="178"/>
    <col min="5897" max="5897" width="12.5703125" style="178" customWidth="1"/>
    <col min="5898" max="6144" width="11" style="178"/>
    <col min="6145" max="6145" width="10.85546875" style="178" customWidth="1"/>
    <col min="6146" max="6146" width="11.140625" style="178" customWidth="1"/>
    <col min="6147" max="6147" width="11.5703125" style="178" customWidth="1"/>
    <col min="6148" max="6148" width="11" style="178"/>
    <col min="6149" max="6149" width="11.5703125" style="178" bestFit="1" customWidth="1"/>
    <col min="6150" max="6150" width="13.42578125" style="178" bestFit="1" customWidth="1"/>
    <col min="6151" max="6152" width="11" style="178"/>
    <col min="6153" max="6153" width="12.5703125" style="178" customWidth="1"/>
    <col min="6154" max="6400" width="11" style="178"/>
    <col min="6401" max="6401" width="10.85546875" style="178" customWidth="1"/>
    <col min="6402" max="6402" width="11.140625" style="178" customWidth="1"/>
    <col min="6403" max="6403" width="11.5703125" style="178" customWidth="1"/>
    <col min="6404" max="6404" width="11" style="178"/>
    <col min="6405" max="6405" width="11.5703125" style="178" bestFit="1" customWidth="1"/>
    <col min="6406" max="6406" width="13.42578125" style="178" bestFit="1" customWidth="1"/>
    <col min="6407" max="6408" width="11" style="178"/>
    <col min="6409" max="6409" width="12.5703125" style="178" customWidth="1"/>
    <col min="6410" max="6656" width="11" style="178"/>
    <col min="6657" max="6657" width="10.85546875" style="178" customWidth="1"/>
    <col min="6658" max="6658" width="11.140625" style="178" customWidth="1"/>
    <col min="6659" max="6659" width="11.5703125" style="178" customWidth="1"/>
    <col min="6660" max="6660" width="11" style="178"/>
    <col min="6661" max="6661" width="11.5703125" style="178" bestFit="1" customWidth="1"/>
    <col min="6662" max="6662" width="13.42578125" style="178" bestFit="1" customWidth="1"/>
    <col min="6663" max="6664" width="11" style="178"/>
    <col min="6665" max="6665" width="12.5703125" style="178" customWidth="1"/>
    <col min="6666" max="6912" width="11" style="178"/>
    <col min="6913" max="6913" width="10.85546875" style="178" customWidth="1"/>
    <col min="6914" max="6914" width="11.140625" style="178" customWidth="1"/>
    <col min="6915" max="6915" width="11.5703125" style="178" customWidth="1"/>
    <col min="6916" max="6916" width="11" style="178"/>
    <col min="6917" max="6917" width="11.5703125" style="178" bestFit="1" customWidth="1"/>
    <col min="6918" max="6918" width="13.42578125" style="178" bestFit="1" customWidth="1"/>
    <col min="6919" max="6920" width="11" style="178"/>
    <col min="6921" max="6921" width="12.5703125" style="178" customWidth="1"/>
    <col min="6922" max="7168" width="11" style="178"/>
    <col min="7169" max="7169" width="10.85546875" style="178" customWidth="1"/>
    <col min="7170" max="7170" width="11.140625" style="178" customWidth="1"/>
    <col min="7171" max="7171" width="11.5703125" style="178" customWidth="1"/>
    <col min="7172" max="7172" width="11" style="178"/>
    <col min="7173" max="7173" width="11.5703125" style="178" bestFit="1" customWidth="1"/>
    <col min="7174" max="7174" width="13.42578125" style="178" bestFit="1" customWidth="1"/>
    <col min="7175" max="7176" width="11" style="178"/>
    <col min="7177" max="7177" width="12.5703125" style="178" customWidth="1"/>
    <col min="7178" max="7424" width="11" style="178"/>
    <col min="7425" max="7425" width="10.85546875" style="178" customWidth="1"/>
    <col min="7426" max="7426" width="11.140625" style="178" customWidth="1"/>
    <col min="7427" max="7427" width="11.5703125" style="178" customWidth="1"/>
    <col min="7428" max="7428" width="11" style="178"/>
    <col min="7429" max="7429" width="11.5703125" style="178" bestFit="1" customWidth="1"/>
    <col min="7430" max="7430" width="13.42578125" style="178" bestFit="1" customWidth="1"/>
    <col min="7431" max="7432" width="11" style="178"/>
    <col min="7433" max="7433" width="12.5703125" style="178" customWidth="1"/>
    <col min="7434" max="7680" width="11" style="178"/>
    <col min="7681" max="7681" width="10.85546875" style="178" customWidth="1"/>
    <col min="7682" max="7682" width="11.140625" style="178" customWidth="1"/>
    <col min="7683" max="7683" width="11.5703125" style="178" customWidth="1"/>
    <col min="7684" max="7684" width="11" style="178"/>
    <col min="7685" max="7685" width="11.5703125" style="178" bestFit="1" customWidth="1"/>
    <col min="7686" max="7686" width="13.42578125" style="178" bestFit="1" customWidth="1"/>
    <col min="7687" max="7688" width="11" style="178"/>
    <col min="7689" max="7689" width="12.5703125" style="178" customWidth="1"/>
    <col min="7690" max="7936" width="11" style="178"/>
    <col min="7937" max="7937" width="10.85546875" style="178" customWidth="1"/>
    <col min="7938" max="7938" width="11.140625" style="178" customWidth="1"/>
    <col min="7939" max="7939" width="11.5703125" style="178" customWidth="1"/>
    <col min="7940" max="7940" width="11" style="178"/>
    <col min="7941" max="7941" width="11.5703125" style="178" bestFit="1" customWidth="1"/>
    <col min="7942" max="7942" width="13.42578125" style="178" bestFit="1" customWidth="1"/>
    <col min="7943" max="7944" width="11" style="178"/>
    <col min="7945" max="7945" width="12.5703125" style="178" customWidth="1"/>
    <col min="7946" max="8192" width="11" style="178"/>
    <col min="8193" max="8193" width="10.85546875" style="178" customWidth="1"/>
    <col min="8194" max="8194" width="11.140625" style="178" customWidth="1"/>
    <col min="8195" max="8195" width="11.5703125" style="178" customWidth="1"/>
    <col min="8196" max="8196" width="11" style="178"/>
    <col min="8197" max="8197" width="11.5703125" style="178" bestFit="1" customWidth="1"/>
    <col min="8198" max="8198" width="13.42578125" style="178" bestFit="1" customWidth="1"/>
    <col min="8199" max="8200" width="11" style="178"/>
    <col min="8201" max="8201" width="12.5703125" style="178" customWidth="1"/>
    <col min="8202" max="8448" width="11" style="178"/>
    <col min="8449" max="8449" width="10.85546875" style="178" customWidth="1"/>
    <col min="8450" max="8450" width="11.140625" style="178" customWidth="1"/>
    <col min="8451" max="8451" width="11.5703125" style="178" customWidth="1"/>
    <col min="8452" max="8452" width="11" style="178"/>
    <col min="8453" max="8453" width="11.5703125" style="178" bestFit="1" customWidth="1"/>
    <col min="8454" max="8454" width="13.42578125" style="178" bestFit="1" customWidth="1"/>
    <col min="8455" max="8456" width="11" style="178"/>
    <col min="8457" max="8457" width="12.5703125" style="178" customWidth="1"/>
    <col min="8458" max="8704" width="11" style="178"/>
    <col min="8705" max="8705" width="10.85546875" style="178" customWidth="1"/>
    <col min="8706" max="8706" width="11.140625" style="178" customWidth="1"/>
    <col min="8707" max="8707" width="11.5703125" style="178" customWidth="1"/>
    <col min="8708" max="8708" width="11" style="178"/>
    <col min="8709" max="8709" width="11.5703125" style="178" bestFit="1" customWidth="1"/>
    <col min="8710" max="8710" width="13.42578125" style="178" bestFit="1" customWidth="1"/>
    <col min="8711" max="8712" width="11" style="178"/>
    <col min="8713" max="8713" width="12.5703125" style="178" customWidth="1"/>
    <col min="8714" max="8960" width="11" style="178"/>
    <col min="8961" max="8961" width="10.85546875" style="178" customWidth="1"/>
    <col min="8962" max="8962" width="11.140625" style="178" customWidth="1"/>
    <col min="8963" max="8963" width="11.5703125" style="178" customWidth="1"/>
    <col min="8964" max="8964" width="11" style="178"/>
    <col min="8965" max="8965" width="11.5703125" style="178" bestFit="1" customWidth="1"/>
    <col min="8966" max="8966" width="13.42578125" style="178" bestFit="1" customWidth="1"/>
    <col min="8967" max="8968" width="11" style="178"/>
    <col min="8969" max="8969" width="12.5703125" style="178" customWidth="1"/>
    <col min="8970" max="9216" width="11" style="178"/>
    <col min="9217" max="9217" width="10.85546875" style="178" customWidth="1"/>
    <col min="9218" max="9218" width="11.140625" style="178" customWidth="1"/>
    <col min="9219" max="9219" width="11.5703125" style="178" customWidth="1"/>
    <col min="9220" max="9220" width="11" style="178"/>
    <col min="9221" max="9221" width="11.5703125" style="178" bestFit="1" customWidth="1"/>
    <col min="9222" max="9222" width="13.42578125" style="178" bestFit="1" customWidth="1"/>
    <col min="9223" max="9224" width="11" style="178"/>
    <col min="9225" max="9225" width="12.5703125" style="178" customWidth="1"/>
    <col min="9226" max="9472" width="11" style="178"/>
    <col min="9473" max="9473" width="10.85546875" style="178" customWidth="1"/>
    <col min="9474" max="9474" width="11.140625" style="178" customWidth="1"/>
    <col min="9475" max="9475" width="11.5703125" style="178" customWidth="1"/>
    <col min="9476" max="9476" width="11" style="178"/>
    <col min="9477" max="9477" width="11.5703125" style="178" bestFit="1" customWidth="1"/>
    <col min="9478" max="9478" width="13.42578125" style="178" bestFit="1" customWidth="1"/>
    <col min="9479" max="9480" width="11" style="178"/>
    <col min="9481" max="9481" width="12.5703125" style="178" customWidth="1"/>
    <col min="9482" max="9728" width="11" style="178"/>
    <col min="9729" max="9729" width="10.85546875" style="178" customWidth="1"/>
    <col min="9730" max="9730" width="11.140625" style="178" customWidth="1"/>
    <col min="9731" max="9731" width="11.5703125" style="178" customWidth="1"/>
    <col min="9732" max="9732" width="11" style="178"/>
    <col min="9733" max="9733" width="11.5703125" style="178" bestFit="1" customWidth="1"/>
    <col min="9734" max="9734" width="13.42578125" style="178" bestFit="1" customWidth="1"/>
    <col min="9735" max="9736" width="11" style="178"/>
    <col min="9737" max="9737" width="12.5703125" style="178" customWidth="1"/>
    <col min="9738" max="9984" width="11" style="178"/>
    <col min="9985" max="9985" width="10.85546875" style="178" customWidth="1"/>
    <col min="9986" max="9986" width="11.140625" style="178" customWidth="1"/>
    <col min="9987" max="9987" width="11.5703125" style="178" customWidth="1"/>
    <col min="9988" max="9988" width="11" style="178"/>
    <col min="9989" max="9989" width="11.5703125" style="178" bestFit="1" customWidth="1"/>
    <col min="9990" max="9990" width="13.42578125" style="178" bestFit="1" customWidth="1"/>
    <col min="9991" max="9992" width="11" style="178"/>
    <col min="9993" max="9993" width="12.5703125" style="178" customWidth="1"/>
    <col min="9994" max="10240" width="11" style="178"/>
    <col min="10241" max="10241" width="10.85546875" style="178" customWidth="1"/>
    <col min="10242" max="10242" width="11.140625" style="178" customWidth="1"/>
    <col min="10243" max="10243" width="11.5703125" style="178" customWidth="1"/>
    <col min="10244" max="10244" width="11" style="178"/>
    <col min="10245" max="10245" width="11.5703125" style="178" bestFit="1" customWidth="1"/>
    <col min="10246" max="10246" width="13.42578125" style="178" bestFit="1" customWidth="1"/>
    <col min="10247" max="10248" width="11" style="178"/>
    <col min="10249" max="10249" width="12.5703125" style="178" customWidth="1"/>
    <col min="10250" max="10496" width="11" style="178"/>
    <col min="10497" max="10497" width="10.85546875" style="178" customWidth="1"/>
    <col min="10498" max="10498" width="11.140625" style="178" customWidth="1"/>
    <col min="10499" max="10499" width="11.5703125" style="178" customWidth="1"/>
    <col min="10500" max="10500" width="11" style="178"/>
    <col min="10501" max="10501" width="11.5703125" style="178" bestFit="1" customWidth="1"/>
    <col min="10502" max="10502" width="13.42578125" style="178" bestFit="1" customWidth="1"/>
    <col min="10503" max="10504" width="11" style="178"/>
    <col min="10505" max="10505" width="12.5703125" style="178" customWidth="1"/>
    <col min="10506" max="10752" width="11" style="178"/>
    <col min="10753" max="10753" width="10.85546875" style="178" customWidth="1"/>
    <col min="10754" max="10754" width="11.140625" style="178" customWidth="1"/>
    <col min="10755" max="10755" width="11.5703125" style="178" customWidth="1"/>
    <col min="10756" max="10756" width="11" style="178"/>
    <col min="10757" max="10757" width="11.5703125" style="178" bestFit="1" customWidth="1"/>
    <col min="10758" max="10758" width="13.42578125" style="178" bestFit="1" customWidth="1"/>
    <col min="10759" max="10760" width="11" style="178"/>
    <col min="10761" max="10761" width="12.5703125" style="178" customWidth="1"/>
    <col min="10762" max="11008" width="11" style="178"/>
    <col min="11009" max="11009" width="10.85546875" style="178" customWidth="1"/>
    <col min="11010" max="11010" width="11.140625" style="178" customWidth="1"/>
    <col min="11011" max="11011" width="11.5703125" style="178" customWidth="1"/>
    <col min="11012" max="11012" width="11" style="178"/>
    <col min="11013" max="11013" width="11.5703125" style="178" bestFit="1" customWidth="1"/>
    <col min="11014" max="11014" width="13.42578125" style="178" bestFit="1" customWidth="1"/>
    <col min="11015" max="11016" width="11" style="178"/>
    <col min="11017" max="11017" width="12.5703125" style="178" customWidth="1"/>
    <col min="11018" max="11264" width="11" style="178"/>
    <col min="11265" max="11265" width="10.85546875" style="178" customWidth="1"/>
    <col min="11266" max="11266" width="11.140625" style="178" customWidth="1"/>
    <col min="11267" max="11267" width="11.5703125" style="178" customWidth="1"/>
    <col min="11268" max="11268" width="11" style="178"/>
    <col min="11269" max="11269" width="11.5703125" style="178" bestFit="1" customWidth="1"/>
    <col min="11270" max="11270" width="13.42578125" style="178" bestFit="1" customWidth="1"/>
    <col min="11271" max="11272" width="11" style="178"/>
    <col min="11273" max="11273" width="12.5703125" style="178" customWidth="1"/>
    <col min="11274" max="11520" width="11" style="178"/>
    <col min="11521" max="11521" width="10.85546875" style="178" customWidth="1"/>
    <col min="11522" max="11522" width="11.140625" style="178" customWidth="1"/>
    <col min="11523" max="11523" width="11.5703125" style="178" customWidth="1"/>
    <col min="11524" max="11524" width="11" style="178"/>
    <col min="11525" max="11525" width="11.5703125" style="178" bestFit="1" customWidth="1"/>
    <col min="11526" max="11526" width="13.42578125" style="178" bestFit="1" customWidth="1"/>
    <col min="11527" max="11528" width="11" style="178"/>
    <col min="11529" max="11529" width="12.5703125" style="178" customWidth="1"/>
    <col min="11530" max="11776" width="11" style="178"/>
    <col min="11777" max="11777" width="10.85546875" style="178" customWidth="1"/>
    <col min="11778" max="11778" width="11.140625" style="178" customWidth="1"/>
    <col min="11779" max="11779" width="11.5703125" style="178" customWidth="1"/>
    <col min="11780" max="11780" width="11" style="178"/>
    <col min="11781" max="11781" width="11.5703125" style="178" bestFit="1" customWidth="1"/>
    <col min="11782" max="11782" width="13.42578125" style="178" bestFit="1" customWidth="1"/>
    <col min="11783" max="11784" width="11" style="178"/>
    <col min="11785" max="11785" width="12.5703125" style="178" customWidth="1"/>
    <col min="11786" max="12032" width="11" style="178"/>
    <col min="12033" max="12033" width="10.85546875" style="178" customWidth="1"/>
    <col min="12034" max="12034" width="11.140625" style="178" customWidth="1"/>
    <col min="12035" max="12035" width="11.5703125" style="178" customWidth="1"/>
    <col min="12036" max="12036" width="11" style="178"/>
    <col min="12037" max="12037" width="11.5703125" style="178" bestFit="1" customWidth="1"/>
    <col min="12038" max="12038" width="13.42578125" style="178" bestFit="1" customWidth="1"/>
    <col min="12039" max="12040" width="11" style="178"/>
    <col min="12041" max="12041" width="12.5703125" style="178" customWidth="1"/>
    <col min="12042" max="12288" width="11" style="178"/>
    <col min="12289" max="12289" width="10.85546875" style="178" customWidth="1"/>
    <col min="12290" max="12290" width="11.140625" style="178" customWidth="1"/>
    <col min="12291" max="12291" width="11.5703125" style="178" customWidth="1"/>
    <col min="12292" max="12292" width="11" style="178"/>
    <col min="12293" max="12293" width="11.5703125" style="178" bestFit="1" customWidth="1"/>
    <col min="12294" max="12294" width="13.42578125" style="178" bestFit="1" customWidth="1"/>
    <col min="12295" max="12296" width="11" style="178"/>
    <col min="12297" max="12297" width="12.5703125" style="178" customWidth="1"/>
    <col min="12298" max="12544" width="11" style="178"/>
    <col min="12545" max="12545" width="10.85546875" style="178" customWidth="1"/>
    <col min="12546" max="12546" width="11.140625" style="178" customWidth="1"/>
    <col min="12547" max="12547" width="11.5703125" style="178" customWidth="1"/>
    <col min="12548" max="12548" width="11" style="178"/>
    <col min="12549" max="12549" width="11.5703125" style="178" bestFit="1" customWidth="1"/>
    <col min="12550" max="12550" width="13.42578125" style="178" bestFit="1" customWidth="1"/>
    <col min="12551" max="12552" width="11" style="178"/>
    <col min="12553" max="12553" width="12.5703125" style="178" customWidth="1"/>
    <col min="12554" max="12800" width="11" style="178"/>
    <col min="12801" max="12801" width="10.85546875" style="178" customWidth="1"/>
    <col min="12802" max="12802" width="11.140625" style="178" customWidth="1"/>
    <col min="12803" max="12803" width="11.5703125" style="178" customWidth="1"/>
    <col min="12804" max="12804" width="11" style="178"/>
    <col min="12805" max="12805" width="11.5703125" style="178" bestFit="1" customWidth="1"/>
    <col min="12806" max="12806" width="13.42578125" style="178" bestFit="1" customWidth="1"/>
    <col min="12807" max="12808" width="11" style="178"/>
    <col min="12809" max="12809" width="12.5703125" style="178" customWidth="1"/>
    <col min="12810" max="13056" width="11" style="178"/>
    <col min="13057" max="13057" width="10.85546875" style="178" customWidth="1"/>
    <col min="13058" max="13058" width="11.140625" style="178" customWidth="1"/>
    <col min="13059" max="13059" width="11.5703125" style="178" customWidth="1"/>
    <col min="13060" max="13060" width="11" style="178"/>
    <col min="13061" max="13061" width="11.5703125" style="178" bestFit="1" customWidth="1"/>
    <col min="13062" max="13062" width="13.42578125" style="178" bestFit="1" customWidth="1"/>
    <col min="13063" max="13064" width="11" style="178"/>
    <col min="13065" max="13065" width="12.5703125" style="178" customWidth="1"/>
    <col min="13066" max="13312" width="11" style="178"/>
    <col min="13313" max="13313" width="10.85546875" style="178" customWidth="1"/>
    <col min="13314" max="13314" width="11.140625" style="178" customWidth="1"/>
    <col min="13315" max="13315" width="11.5703125" style="178" customWidth="1"/>
    <col min="13316" max="13316" width="11" style="178"/>
    <col min="13317" max="13317" width="11.5703125" style="178" bestFit="1" customWidth="1"/>
    <col min="13318" max="13318" width="13.42578125" style="178" bestFit="1" customWidth="1"/>
    <col min="13319" max="13320" width="11" style="178"/>
    <col min="13321" max="13321" width="12.5703125" style="178" customWidth="1"/>
    <col min="13322" max="13568" width="11" style="178"/>
    <col min="13569" max="13569" width="10.85546875" style="178" customWidth="1"/>
    <col min="13570" max="13570" width="11.140625" style="178" customWidth="1"/>
    <col min="13571" max="13571" width="11.5703125" style="178" customWidth="1"/>
    <col min="13572" max="13572" width="11" style="178"/>
    <col min="13573" max="13573" width="11.5703125" style="178" bestFit="1" customWidth="1"/>
    <col min="13574" max="13574" width="13.42578125" style="178" bestFit="1" customWidth="1"/>
    <col min="13575" max="13576" width="11" style="178"/>
    <col min="13577" max="13577" width="12.5703125" style="178" customWidth="1"/>
    <col min="13578" max="13824" width="11" style="178"/>
    <col min="13825" max="13825" width="10.85546875" style="178" customWidth="1"/>
    <col min="13826" max="13826" width="11.140625" style="178" customWidth="1"/>
    <col min="13827" max="13827" width="11.5703125" style="178" customWidth="1"/>
    <col min="13828" max="13828" width="11" style="178"/>
    <col min="13829" max="13829" width="11.5703125" style="178" bestFit="1" customWidth="1"/>
    <col min="13830" max="13830" width="13.42578125" style="178" bestFit="1" customWidth="1"/>
    <col min="13831" max="13832" width="11" style="178"/>
    <col min="13833" max="13833" width="12.5703125" style="178" customWidth="1"/>
    <col min="13834" max="14080" width="11" style="178"/>
    <col min="14081" max="14081" width="10.85546875" style="178" customWidth="1"/>
    <col min="14082" max="14082" width="11.140625" style="178" customWidth="1"/>
    <col min="14083" max="14083" width="11.5703125" style="178" customWidth="1"/>
    <col min="14084" max="14084" width="11" style="178"/>
    <col min="14085" max="14085" width="11.5703125" style="178" bestFit="1" customWidth="1"/>
    <col min="14086" max="14086" width="13.42578125" style="178" bestFit="1" customWidth="1"/>
    <col min="14087" max="14088" width="11" style="178"/>
    <col min="14089" max="14089" width="12.5703125" style="178" customWidth="1"/>
    <col min="14090" max="14336" width="11" style="178"/>
    <col min="14337" max="14337" width="10.85546875" style="178" customWidth="1"/>
    <col min="14338" max="14338" width="11.140625" style="178" customWidth="1"/>
    <col min="14339" max="14339" width="11.5703125" style="178" customWidth="1"/>
    <col min="14340" max="14340" width="11" style="178"/>
    <col min="14341" max="14341" width="11.5703125" style="178" bestFit="1" customWidth="1"/>
    <col min="14342" max="14342" width="13.42578125" style="178" bestFit="1" customWidth="1"/>
    <col min="14343" max="14344" width="11" style="178"/>
    <col min="14345" max="14345" width="12.5703125" style="178" customWidth="1"/>
    <col min="14346" max="14592" width="11" style="178"/>
    <col min="14593" max="14593" width="10.85546875" style="178" customWidth="1"/>
    <col min="14594" max="14594" width="11.140625" style="178" customWidth="1"/>
    <col min="14595" max="14595" width="11.5703125" style="178" customWidth="1"/>
    <col min="14596" max="14596" width="11" style="178"/>
    <col min="14597" max="14597" width="11.5703125" style="178" bestFit="1" customWidth="1"/>
    <col min="14598" max="14598" width="13.42578125" style="178" bestFit="1" customWidth="1"/>
    <col min="14599" max="14600" width="11" style="178"/>
    <col min="14601" max="14601" width="12.5703125" style="178" customWidth="1"/>
    <col min="14602" max="14848" width="11" style="178"/>
    <col min="14849" max="14849" width="10.85546875" style="178" customWidth="1"/>
    <col min="14850" max="14850" width="11.140625" style="178" customWidth="1"/>
    <col min="14851" max="14851" width="11.5703125" style="178" customWidth="1"/>
    <col min="14852" max="14852" width="11" style="178"/>
    <col min="14853" max="14853" width="11.5703125" style="178" bestFit="1" customWidth="1"/>
    <col min="14854" max="14854" width="13.42578125" style="178" bestFit="1" customWidth="1"/>
    <col min="14855" max="14856" width="11" style="178"/>
    <col min="14857" max="14857" width="12.5703125" style="178" customWidth="1"/>
    <col min="14858" max="15104" width="11" style="178"/>
    <col min="15105" max="15105" width="10.85546875" style="178" customWidth="1"/>
    <col min="15106" max="15106" width="11.140625" style="178" customWidth="1"/>
    <col min="15107" max="15107" width="11.5703125" style="178" customWidth="1"/>
    <col min="15108" max="15108" width="11" style="178"/>
    <col min="15109" max="15109" width="11.5703125" style="178" bestFit="1" customWidth="1"/>
    <col min="15110" max="15110" width="13.42578125" style="178" bestFit="1" customWidth="1"/>
    <col min="15111" max="15112" width="11" style="178"/>
    <col min="15113" max="15113" width="12.5703125" style="178" customWidth="1"/>
    <col min="15114" max="15360" width="11" style="178"/>
    <col min="15361" max="15361" width="10.85546875" style="178" customWidth="1"/>
    <col min="15362" max="15362" width="11.140625" style="178" customWidth="1"/>
    <col min="15363" max="15363" width="11.5703125" style="178" customWidth="1"/>
    <col min="15364" max="15364" width="11" style="178"/>
    <col min="15365" max="15365" width="11.5703125" style="178" bestFit="1" customWidth="1"/>
    <col min="15366" max="15366" width="13.42578125" style="178" bestFit="1" customWidth="1"/>
    <col min="15367" max="15368" width="11" style="178"/>
    <col min="15369" max="15369" width="12.5703125" style="178" customWidth="1"/>
    <col min="15370" max="15616" width="11" style="178"/>
    <col min="15617" max="15617" width="10.85546875" style="178" customWidth="1"/>
    <col min="15618" max="15618" width="11.140625" style="178" customWidth="1"/>
    <col min="15619" max="15619" width="11.5703125" style="178" customWidth="1"/>
    <col min="15620" max="15620" width="11" style="178"/>
    <col min="15621" max="15621" width="11.5703125" style="178" bestFit="1" customWidth="1"/>
    <col min="15622" max="15622" width="13.42578125" style="178" bestFit="1" customWidth="1"/>
    <col min="15623" max="15624" width="11" style="178"/>
    <col min="15625" max="15625" width="12.5703125" style="178" customWidth="1"/>
    <col min="15626" max="15872" width="11" style="178"/>
    <col min="15873" max="15873" width="10.85546875" style="178" customWidth="1"/>
    <col min="15874" max="15874" width="11.140625" style="178" customWidth="1"/>
    <col min="15875" max="15875" width="11.5703125" style="178" customWidth="1"/>
    <col min="15876" max="15876" width="11" style="178"/>
    <col min="15877" max="15877" width="11.5703125" style="178" bestFit="1" customWidth="1"/>
    <col min="15878" max="15878" width="13.42578125" style="178" bestFit="1" customWidth="1"/>
    <col min="15879" max="15880" width="11" style="178"/>
    <col min="15881" max="15881" width="12.5703125" style="178" customWidth="1"/>
    <col min="15882" max="16128" width="11" style="178"/>
    <col min="16129" max="16129" width="10.85546875" style="178" customWidth="1"/>
    <col min="16130" max="16130" width="11.140625" style="178" customWidth="1"/>
    <col min="16131" max="16131" width="11.5703125" style="178" customWidth="1"/>
    <col min="16132" max="16132" width="11" style="178"/>
    <col min="16133" max="16133" width="11.5703125" style="178" bestFit="1" customWidth="1"/>
    <col min="16134" max="16134" width="13.42578125" style="178" bestFit="1" customWidth="1"/>
    <col min="16135" max="16136" width="11" style="178"/>
    <col min="16137" max="16137" width="12.5703125" style="178" customWidth="1"/>
    <col min="16138" max="16384" width="11" style="178"/>
  </cols>
  <sheetData>
    <row r="1" spans="1:123" ht="42.6" customHeight="1" thickBot="1" x14ac:dyDescent="0.25">
      <c r="A1" s="394" t="str">
        <f>+'8. Gastos'!A1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95"/>
      <c r="C1" s="395"/>
      <c r="D1" s="395"/>
      <c r="E1" s="395"/>
      <c r="F1" s="395"/>
      <c r="G1" s="395"/>
      <c r="H1" s="395"/>
      <c r="I1" s="395"/>
      <c r="J1" s="395"/>
      <c r="K1" s="395"/>
      <c r="L1" s="395"/>
      <c r="M1" s="396"/>
    </row>
    <row r="2" spans="1:123" s="181" customFormat="1" ht="27.75" customHeight="1" x14ac:dyDescent="0.2">
      <c r="A2" s="397" t="s">
        <v>351</v>
      </c>
      <c r="B2" s="398"/>
      <c r="C2" s="398"/>
      <c r="D2" s="398"/>
      <c r="E2" s="398"/>
      <c r="F2" s="398"/>
      <c r="G2" s="398"/>
      <c r="H2" s="399"/>
      <c r="I2" s="179"/>
      <c r="J2" s="179"/>
      <c r="K2" s="179"/>
      <c r="L2" s="179"/>
      <c r="M2" s="179"/>
      <c r="N2" s="179"/>
      <c r="O2" s="179"/>
      <c r="P2" s="180"/>
      <c r="Q2" s="180"/>
      <c r="R2" s="180"/>
      <c r="S2" s="180"/>
      <c r="T2" s="180"/>
      <c r="U2" s="180"/>
      <c r="V2" s="180"/>
    </row>
    <row r="3" spans="1:123" s="181" customFormat="1" ht="27.75" customHeight="1" x14ac:dyDescent="0.2">
      <c r="A3" s="400" t="s">
        <v>352</v>
      </c>
      <c r="B3" s="401"/>
      <c r="C3" s="401"/>
      <c r="D3" s="401"/>
      <c r="E3" s="401"/>
      <c r="F3" s="401"/>
      <c r="G3" s="401"/>
      <c r="H3" s="402"/>
      <c r="I3" s="179"/>
      <c r="J3" s="179"/>
      <c r="K3" s="179"/>
      <c r="L3" s="179"/>
      <c r="M3" s="179"/>
      <c r="N3" s="179"/>
      <c r="O3" s="179"/>
      <c r="P3" s="180"/>
      <c r="Q3" s="180"/>
      <c r="R3" s="180"/>
      <c r="S3" s="180"/>
      <c r="T3" s="180"/>
      <c r="U3" s="180"/>
      <c r="V3" s="180"/>
    </row>
    <row r="4" spans="1:123" ht="12" thickBot="1" x14ac:dyDescent="0.25"/>
    <row r="5" spans="1:123" s="182" customFormat="1" ht="12" thickBot="1" x14ac:dyDescent="0.25">
      <c r="A5" s="403" t="s">
        <v>353</v>
      </c>
      <c r="B5" s="404"/>
      <c r="C5" s="404"/>
      <c r="D5" s="404"/>
      <c r="E5" s="404"/>
      <c r="F5" s="405"/>
    </row>
    <row r="6" spans="1:123" ht="12.75" x14ac:dyDescent="0.2">
      <c r="A6" s="406" t="s">
        <v>354</v>
      </c>
      <c r="B6" s="407"/>
      <c r="C6" s="408"/>
      <c r="D6" s="409">
        <v>0.03</v>
      </c>
      <c r="E6" s="410"/>
      <c r="F6" s="183"/>
    </row>
    <row r="7" spans="1:123" ht="12.75" x14ac:dyDescent="0.2">
      <c r="A7" s="406" t="s">
        <v>355</v>
      </c>
      <c r="B7" s="407"/>
      <c r="C7" s="408"/>
      <c r="D7" s="184"/>
      <c r="E7" s="185">
        <f>+'Arranque del Negocio'!E9</f>
        <v>310261739.29178399</v>
      </c>
      <c r="F7" s="186">
        <f>D7+E7</f>
        <v>310261739.29178399</v>
      </c>
    </row>
    <row r="8" spans="1:123" ht="12.75" customHeight="1" x14ac:dyDescent="0.2">
      <c r="A8" s="406" t="s">
        <v>356</v>
      </c>
      <c r="B8" s="407"/>
      <c r="C8" s="408"/>
      <c r="D8" s="414">
        <v>12</v>
      </c>
      <c r="E8" s="415"/>
      <c r="F8" s="186">
        <f>D8</f>
        <v>12</v>
      </c>
    </row>
    <row r="9" spans="1:123" ht="13.5" customHeight="1" x14ac:dyDescent="0.2">
      <c r="A9" s="406" t="s">
        <v>357</v>
      </c>
      <c r="B9" s="407"/>
      <c r="C9" s="408"/>
      <c r="D9" s="370">
        <v>3</v>
      </c>
      <c r="E9" s="371"/>
      <c r="F9" s="186">
        <f>D9</f>
        <v>3</v>
      </c>
    </row>
    <row r="10" spans="1:123" ht="15.75" customHeight="1" thickBot="1" x14ac:dyDescent="0.25">
      <c r="A10" s="416" t="s">
        <v>358</v>
      </c>
      <c r="B10" s="417"/>
      <c r="C10" s="417"/>
      <c r="D10" s="417"/>
      <c r="E10" s="418"/>
      <c r="F10" s="187">
        <f>IF(ISERROR((PMT($D$6/12,F8-F9,-F7))),0,(PMT($D$6/12,F8-F9,-F7)))</f>
        <v>34905880.262534387</v>
      </c>
    </row>
    <row r="11" spans="1:123" ht="12" thickBot="1" x14ac:dyDescent="0.25">
      <c r="A11" s="188"/>
      <c r="B11" s="188"/>
      <c r="C11" s="188"/>
      <c r="D11" s="188"/>
      <c r="E11" s="188"/>
      <c r="F11" s="189"/>
    </row>
    <row r="12" spans="1:123" s="188" customFormat="1" ht="12" thickBot="1" x14ac:dyDescent="0.25">
      <c r="A12" s="419" t="s">
        <v>359</v>
      </c>
      <c r="B12" s="420"/>
      <c r="C12" s="190">
        <f>COUNTA(#REF!)-1</f>
        <v>0</v>
      </c>
      <c r="D12" s="190">
        <v>1</v>
      </c>
      <c r="E12" s="190">
        <v>2</v>
      </c>
      <c r="F12" s="190">
        <v>3</v>
      </c>
      <c r="G12" s="190">
        <v>4</v>
      </c>
      <c r="H12" s="190">
        <v>5</v>
      </c>
      <c r="I12" s="190">
        <v>6</v>
      </c>
      <c r="J12" s="190">
        <v>7</v>
      </c>
      <c r="K12" s="190">
        <v>8</v>
      </c>
      <c r="L12" s="190">
        <v>9</v>
      </c>
      <c r="M12" s="190">
        <v>10</v>
      </c>
      <c r="N12" s="190">
        <v>11</v>
      </c>
      <c r="O12" s="190">
        <v>12</v>
      </c>
      <c r="P12" s="190">
        <v>13</v>
      </c>
      <c r="Q12" s="190">
        <v>14</v>
      </c>
      <c r="R12" s="190">
        <v>15</v>
      </c>
      <c r="S12" s="190">
        <v>16</v>
      </c>
      <c r="T12" s="190">
        <v>17</v>
      </c>
      <c r="U12" s="190">
        <v>18</v>
      </c>
      <c r="V12" s="190">
        <v>19</v>
      </c>
      <c r="W12" s="190">
        <v>20</v>
      </c>
      <c r="X12" s="190">
        <v>21</v>
      </c>
      <c r="Y12" s="190">
        <v>22</v>
      </c>
      <c r="Z12" s="190">
        <v>23</v>
      </c>
      <c r="AA12" s="190">
        <v>24</v>
      </c>
      <c r="AB12" s="190">
        <v>25</v>
      </c>
      <c r="AC12" s="190">
        <v>26</v>
      </c>
      <c r="AD12" s="190">
        <v>27</v>
      </c>
      <c r="AE12" s="190">
        <v>28</v>
      </c>
      <c r="AF12" s="190">
        <v>29</v>
      </c>
      <c r="AG12" s="190">
        <v>30</v>
      </c>
      <c r="AH12" s="190">
        <v>31</v>
      </c>
      <c r="AI12" s="190">
        <v>32</v>
      </c>
      <c r="AJ12" s="190">
        <v>33</v>
      </c>
      <c r="AK12" s="190">
        <v>34</v>
      </c>
      <c r="AL12" s="190">
        <v>35</v>
      </c>
      <c r="AM12" s="190">
        <v>36</v>
      </c>
      <c r="AN12" s="190">
        <v>37</v>
      </c>
      <c r="AO12" s="190">
        <v>38</v>
      </c>
      <c r="AP12" s="190">
        <v>39</v>
      </c>
      <c r="AQ12" s="190">
        <v>40</v>
      </c>
      <c r="AR12" s="190">
        <v>41</v>
      </c>
      <c r="AS12" s="190">
        <v>42</v>
      </c>
      <c r="AT12" s="190">
        <v>43</v>
      </c>
      <c r="AU12" s="190">
        <v>44</v>
      </c>
      <c r="AV12" s="190">
        <v>45</v>
      </c>
      <c r="AW12" s="190">
        <v>46</v>
      </c>
      <c r="AX12" s="190">
        <v>47</v>
      </c>
      <c r="AY12" s="190">
        <v>48</v>
      </c>
      <c r="AZ12" s="190">
        <v>49</v>
      </c>
      <c r="BA12" s="190">
        <v>50</v>
      </c>
      <c r="BB12" s="190">
        <v>51</v>
      </c>
      <c r="BC12" s="190">
        <v>52</v>
      </c>
      <c r="BD12" s="190">
        <v>53</v>
      </c>
      <c r="BE12" s="190">
        <v>54</v>
      </c>
      <c r="BF12" s="190">
        <v>55</v>
      </c>
      <c r="BG12" s="190">
        <v>56</v>
      </c>
      <c r="BH12" s="190">
        <v>57</v>
      </c>
      <c r="BI12" s="190">
        <v>58</v>
      </c>
      <c r="BJ12" s="190">
        <v>59</v>
      </c>
      <c r="BK12" s="191">
        <v>60</v>
      </c>
      <c r="BL12" s="190">
        <v>61</v>
      </c>
      <c r="BM12" s="191">
        <v>62</v>
      </c>
      <c r="BN12" s="190">
        <v>63</v>
      </c>
      <c r="BO12" s="191">
        <v>64</v>
      </c>
      <c r="BP12" s="190">
        <v>65</v>
      </c>
      <c r="BQ12" s="191">
        <v>66</v>
      </c>
      <c r="BR12" s="190">
        <v>67</v>
      </c>
      <c r="BS12" s="191">
        <v>68</v>
      </c>
      <c r="BT12" s="190">
        <v>69</v>
      </c>
      <c r="BU12" s="191">
        <v>70</v>
      </c>
      <c r="BV12" s="190">
        <v>71</v>
      </c>
      <c r="BW12" s="191">
        <v>72</v>
      </c>
      <c r="BX12" s="190">
        <v>73</v>
      </c>
      <c r="BY12" s="191">
        <v>74</v>
      </c>
      <c r="BZ12" s="190">
        <v>75</v>
      </c>
      <c r="CA12" s="191">
        <v>76</v>
      </c>
      <c r="CB12" s="190">
        <v>77</v>
      </c>
      <c r="CC12" s="191">
        <v>78</v>
      </c>
      <c r="CD12" s="190">
        <v>79</v>
      </c>
      <c r="CE12" s="191">
        <v>80</v>
      </c>
      <c r="CF12" s="190">
        <v>81</v>
      </c>
      <c r="CG12" s="191">
        <v>82</v>
      </c>
      <c r="CH12" s="190">
        <v>83</v>
      </c>
      <c r="CI12" s="191">
        <v>84</v>
      </c>
      <c r="CJ12" s="190">
        <v>85</v>
      </c>
      <c r="CK12" s="191">
        <v>86</v>
      </c>
      <c r="CL12" s="190">
        <v>87</v>
      </c>
      <c r="CM12" s="191">
        <v>88</v>
      </c>
      <c r="CN12" s="190">
        <v>89</v>
      </c>
      <c r="CO12" s="191">
        <v>90</v>
      </c>
      <c r="CP12" s="190">
        <v>91</v>
      </c>
      <c r="CQ12" s="191">
        <v>92</v>
      </c>
      <c r="CR12" s="190">
        <v>93</v>
      </c>
      <c r="CS12" s="191">
        <v>94</v>
      </c>
      <c r="CT12" s="190">
        <v>95</v>
      </c>
      <c r="CU12" s="191">
        <v>96</v>
      </c>
      <c r="CV12" s="190">
        <v>97</v>
      </c>
      <c r="CW12" s="191">
        <v>98</v>
      </c>
      <c r="CX12" s="190">
        <v>99</v>
      </c>
      <c r="CY12" s="191">
        <v>100</v>
      </c>
      <c r="CZ12" s="190">
        <v>101</v>
      </c>
      <c r="DA12" s="191">
        <v>102</v>
      </c>
      <c r="DB12" s="190">
        <v>103</v>
      </c>
      <c r="DC12" s="191">
        <v>104</v>
      </c>
      <c r="DD12" s="190">
        <v>105</v>
      </c>
      <c r="DE12" s="191">
        <v>106</v>
      </c>
      <c r="DF12" s="190">
        <v>107</v>
      </c>
      <c r="DG12" s="191">
        <v>108</v>
      </c>
      <c r="DH12" s="190">
        <v>109</v>
      </c>
      <c r="DI12" s="191">
        <v>110</v>
      </c>
      <c r="DJ12" s="190">
        <v>111</v>
      </c>
      <c r="DK12" s="191">
        <v>112</v>
      </c>
      <c r="DL12" s="190">
        <v>113</v>
      </c>
      <c r="DM12" s="191">
        <v>114</v>
      </c>
      <c r="DN12" s="190">
        <v>115</v>
      </c>
      <c r="DO12" s="191">
        <v>116</v>
      </c>
      <c r="DP12" s="190">
        <v>117</v>
      </c>
      <c r="DQ12" s="191">
        <v>118</v>
      </c>
      <c r="DR12" s="190">
        <v>119</v>
      </c>
      <c r="DS12" s="191">
        <v>120</v>
      </c>
    </row>
    <row r="13" spans="1:123" x14ac:dyDescent="0.2">
      <c r="A13" s="421" t="s">
        <v>360</v>
      </c>
      <c r="B13" s="422"/>
      <c r="C13" s="192">
        <f>DH22</f>
        <v>0</v>
      </c>
      <c r="D13" s="192">
        <f>IF($F9-D12&gt;=0,0,D16-D14)</f>
        <v>0</v>
      </c>
      <c r="E13" s="192">
        <f>IF($F9-E12&gt;=0,0,E16-E14)</f>
        <v>0</v>
      </c>
      <c r="F13" s="192">
        <f t="shared" ref="F13:BQ13" si="0">IF($F9-F12&gt;=0,0,F16-F14)</f>
        <v>0</v>
      </c>
      <c r="G13" s="192">
        <f t="shared" si="0"/>
        <v>34130225.914304927</v>
      </c>
      <c r="H13" s="192">
        <f t="shared" si="0"/>
        <v>34215551.479090691</v>
      </c>
      <c r="I13" s="192">
        <f t="shared" si="0"/>
        <v>34301090.357788414</v>
      </c>
      <c r="J13" s="192">
        <f t="shared" si="0"/>
        <v>34386843.083682887</v>
      </c>
      <c r="K13" s="192">
        <f t="shared" si="0"/>
        <v>34472810.191392094</v>
      </c>
      <c r="L13" s="192">
        <f t="shared" si="0"/>
        <v>34558992.216870576</v>
      </c>
      <c r="M13" s="192">
        <f t="shared" si="0"/>
        <v>34645389.697412752</v>
      </c>
      <c r="N13" s="192">
        <f t="shared" si="0"/>
        <v>34732003.171656281</v>
      </c>
      <c r="O13" s="192">
        <f t="shared" si="0"/>
        <v>34818833.179585427</v>
      </c>
      <c r="P13" s="192">
        <f t="shared" si="0"/>
        <v>1.4901161193847657E-10</v>
      </c>
      <c r="Q13" s="192">
        <f t="shared" si="0"/>
        <v>0</v>
      </c>
      <c r="R13" s="192">
        <f t="shared" si="0"/>
        <v>0</v>
      </c>
      <c r="S13" s="192">
        <f t="shared" si="0"/>
        <v>0</v>
      </c>
      <c r="T13" s="192">
        <f t="shared" si="0"/>
        <v>0</v>
      </c>
      <c r="U13" s="192">
        <f t="shared" si="0"/>
        <v>0</v>
      </c>
      <c r="V13" s="192">
        <f t="shared" si="0"/>
        <v>0</v>
      </c>
      <c r="W13" s="192">
        <f t="shared" si="0"/>
        <v>0</v>
      </c>
      <c r="X13" s="192">
        <f t="shared" si="0"/>
        <v>0</v>
      </c>
      <c r="Y13" s="192">
        <f t="shared" si="0"/>
        <v>0</v>
      </c>
      <c r="Z13" s="192">
        <f t="shared" si="0"/>
        <v>0</v>
      </c>
      <c r="AA13" s="192">
        <f t="shared" si="0"/>
        <v>0</v>
      </c>
      <c r="AB13" s="192">
        <f t="shared" si="0"/>
        <v>0</v>
      </c>
      <c r="AC13" s="192">
        <f t="shared" si="0"/>
        <v>0</v>
      </c>
      <c r="AD13" s="192">
        <f t="shared" si="0"/>
        <v>0</v>
      </c>
      <c r="AE13" s="192">
        <f t="shared" si="0"/>
        <v>0</v>
      </c>
      <c r="AF13" s="192">
        <f t="shared" si="0"/>
        <v>0</v>
      </c>
      <c r="AG13" s="192">
        <f t="shared" si="0"/>
        <v>0</v>
      </c>
      <c r="AH13" s="192">
        <f t="shared" si="0"/>
        <v>0</v>
      </c>
      <c r="AI13" s="192">
        <f t="shared" si="0"/>
        <v>0</v>
      </c>
      <c r="AJ13" s="192">
        <f t="shared" si="0"/>
        <v>0</v>
      </c>
      <c r="AK13" s="192">
        <f t="shared" si="0"/>
        <v>0</v>
      </c>
      <c r="AL13" s="192">
        <f t="shared" si="0"/>
        <v>0</v>
      </c>
      <c r="AM13" s="192">
        <f t="shared" si="0"/>
        <v>0</v>
      </c>
      <c r="AN13" s="192">
        <f t="shared" si="0"/>
        <v>0</v>
      </c>
      <c r="AO13" s="192">
        <f t="shared" si="0"/>
        <v>0</v>
      </c>
      <c r="AP13" s="192">
        <f t="shared" si="0"/>
        <v>0</v>
      </c>
      <c r="AQ13" s="192">
        <f t="shared" si="0"/>
        <v>0</v>
      </c>
      <c r="AR13" s="192">
        <f t="shared" si="0"/>
        <v>0</v>
      </c>
      <c r="AS13" s="192">
        <f t="shared" si="0"/>
        <v>0</v>
      </c>
      <c r="AT13" s="192">
        <f t="shared" si="0"/>
        <v>0</v>
      </c>
      <c r="AU13" s="192">
        <f t="shared" si="0"/>
        <v>0</v>
      </c>
      <c r="AV13" s="192">
        <f t="shared" si="0"/>
        <v>0</v>
      </c>
      <c r="AW13" s="192">
        <f t="shared" si="0"/>
        <v>0</v>
      </c>
      <c r="AX13" s="192">
        <f t="shared" si="0"/>
        <v>0</v>
      </c>
      <c r="AY13" s="192">
        <f t="shared" si="0"/>
        <v>0</v>
      </c>
      <c r="AZ13" s="192">
        <f t="shared" si="0"/>
        <v>0</v>
      </c>
      <c r="BA13" s="192">
        <f t="shared" si="0"/>
        <v>0</v>
      </c>
      <c r="BB13" s="192">
        <f t="shared" si="0"/>
        <v>0</v>
      </c>
      <c r="BC13" s="192">
        <f t="shared" si="0"/>
        <v>0</v>
      </c>
      <c r="BD13" s="192">
        <f t="shared" si="0"/>
        <v>0</v>
      </c>
      <c r="BE13" s="192">
        <f t="shared" si="0"/>
        <v>0</v>
      </c>
      <c r="BF13" s="192">
        <f t="shared" si="0"/>
        <v>0</v>
      </c>
      <c r="BG13" s="192">
        <f t="shared" si="0"/>
        <v>0</v>
      </c>
      <c r="BH13" s="192">
        <f t="shared" si="0"/>
        <v>0</v>
      </c>
      <c r="BI13" s="192">
        <f t="shared" si="0"/>
        <v>0</v>
      </c>
      <c r="BJ13" s="192">
        <f t="shared" si="0"/>
        <v>0</v>
      </c>
      <c r="BK13" s="192">
        <f t="shared" si="0"/>
        <v>0</v>
      </c>
      <c r="BL13" s="192">
        <f t="shared" si="0"/>
        <v>0</v>
      </c>
      <c r="BM13" s="192">
        <f t="shared" si="0"/>
        <v>0</v>
      </c>
      <c r="BN13" s="192">
        <f t="shared" si="0"/>
        <v>0</v>
      </c>
      <c r="BO13" s="192">
        <f t="shared" si="0"/>
        <v>0</v>
      </c>
      <c r="BP13" s="192">
        <f t="shared" si="0"/>
        <v>0</v>
      </c>
      <c r="BQ13" s="192">
        <f t="shared" si="0"/>
        <v>0</v>
      </c>
      <c r="BR13" s="192">
        <f t="shared" ref="BR13:DS13" si="1">IF($F9-BR12&gt;=0,0,BR16-BR14)</f>
        <v>0</v>
      </c>
      <c r="BS13" s="192">
        <f t="shared" si="1"/>
        <v>0</v>
      </c>
      <c r="BT13" s="192">
        <f t="shared" si="1"/>
        <v>0</v>
      </c>
      <c r="BU13" s="192">
        <f t="shared" si="1"/>
        <v>0</v>
      </c>
      <c r="BV13" s="192">
        <f t="shared" si="1"/>
        <v>0</v>
      </c>
      <c r="BW13" s="192">
        <f t="shared" si="1"/>
        <v>0</v>
      </c>
      <c r="BX13" s="192">
        <f t="shared" si="1"/>
        <v>0</v>
      </c>
      <c r="BY13" s="192">
        <f t="shared" si="1"/>
        <v>0</v>
      </c>
      <c r="BZ13" s="192">
        <f t="shared" si="1"/>
        <v>0</v>
      </c>
      <c r="CA13" s="192">
        <f t="shared" si="1"/>
        <v>0</v>
      </c>
      <c r="CB13" s="192">
        <f t="shared" si="1"/>
        <v>0</v>
      </c>
      <c r="CC13" s="192">
        <f t="shared" si="1"/>
        <v>0</v>
      </c>
      <c r="CD13" s="192">
        <f t="shared" si="1"/>
        <v>0</v>
      </c>
      <c r="CE13" s="192">
        <f t="shared" si="1"/>
        <v>0</v>
      </c>
      <c r="CF13" s="192">
        <f t="shared" si="1"/>
        <v>0</v>
      </c>
      <c r="CG13" s="192">
        <f t="shared" si="1"/>
        <v>0</v>
      </c>
      <c r="CH13" s="192">
        <f t="shared" si="1"/>
        <v>0</v>
      </c>
      <c r="CI13" s="192">
        <f t="shared" si="1"/>
        <v>0</v>
      </c>
      <c r="CJ13" s="192">
        <f t="shared" si="1"/>
        <v>0</v>
      </c>
      <c r="CK13" s="192">
        <f t="shared" si="1"/>
        <v>0</v>
      </c>
      <c r="CL13" s="192">
        <f t="shared" si="1"/>
        <v>0</v>
      </c>
      <c r="CM13" s="192">
        <f t="shared" si="1"/>
        <v>0</v>
      </c>
      <c r="CN13" s="192">
        <f t="shared" si="1"/>
        <v>0</v>
      </c>
      <c r="CO13" s="192">
        <f t="shared" si="1"/>
        <v>0</v>
      </c>
      <c r="CP13" s="192">
        <f t="shared" si="1"/>
        <v>0</v>
      </c>
      <c r="CQ13" s="192">
        <f t="shared" si="1"/>
        <v>0</v>
      </c>
      <c r="CR13" s="192">
        <f t="shared" si="1"/>
        <v>0</v>
      </c>
      <c r="CS13" s="192">
        <f t="shared" si="1"/>
        <v>0</v>
      </c>
      <c r="CT13" s="192">
        <f t="shared" si="1"/>
        <v>0</v>
      </c>
      <c r="CU13" s="192">
        <f t="shared" si="1"/>
        <v>0</v>
      </c>
      <c r="CV13" s="192">
        <f t="shared" si="1"/>
        <v>0</v>
      </c>
      <c r="CW13" s="192">
        <f t="shared" si="1"/>
        <v>0</v>
      </c>
      <c r="CX13" s="192">
        <f t="shared" si="1"/>
        <v>0</v>
      </c>
      <c r="CY13" s="192">
        <f t="shared" si="1"/>
        <v>0</v>
      </c>
      <c r="CZ13" s="192">
        <f t="shared" si="1"/>
        <v>0</v>
      </c>
      <c r="DA13" s="192">
        <f t="shared" si="1"/>
        <v>0</v>
      </c>
      <c r="DB13" s="192">
        <f t="shared" si="1"/>
        <v>0</v>
      </c>
      <c r="DC13" s="192">
        <f t="shared" si="1"/>
        <v>0</v>
      </c>
      <c r="DD13" s="192">
        <f t="shared" si="1"/>
        <v>0</v>
      </c>
      <c r="DE13" s="192">
        <f t="shared" si="1"/>
        <v>0</v>
      </c>
      <c r="DF13" s="192">
        <f t="shared" si="1"/>
        <v>0</v>
      </c>
      <c r="DG13" s="192">
        <f t="shared" si="1"/>
        <v>0</v>
      </c>
      <c r="DH13" s="192">
        <f t="shared" si="1"/>
        <v>0</v>
      </c>
      <c r="DI13" s="192">
        <f t="shared" si="1"/>
        <v>0</v>
      </c>
      <c r="DJ13" s="192">
        <f t="shared" si="1"/>
        <v>0</v>
      </c>
      <c r="DK13" s="192">
        <f t="shared" si="1"/>
        <v>0</v>
      </c>
      <c r="DL13" s="192">
        <f t="shared" si="1"/>
        <v>0</v>
      </c>
      <c r="DM13" s="192">
        <f t="shared" si="1"/>
        <v>0</v>
      </c>
      <c r="DN13" s="192">
        <f t="shared" si="1"/>
        <v>0</v>
      </c>
      <c r="DO13" s="192">
        <f t="shared" si="1"/>
        <v>0</v>
      </c>
      <c r="DP13" s="192">
        <f t="shared" si="1"/>
        <v>0</v>
      </c>
      <c r="DQ13" s="192">
        <f t="shared" si="1"/>
        <v>0</v>
      </c>
      <c r="DR13" s="192">
        <f t="shared" si="1"/>
        <v>0</v>
      </c>
      <c r="DS13" s="192">
        <f t="shared" si="1"/>
        <v>0</v>
      </c>
    </row>
    <row r="14" spans="1:123" x14ac:dyDescent="0.2">
      <c r="A14" s="423" t="s">
        <v>361</v>
      </c>
      <c r="B14" s="424"/>
      <c r="C14" s="193"/>
      <c r="D14" s="194">
        <f>C15*($D$6/12)</f>
        <v>775654.34822945995</v>
      </c>
      <c r="E14" s="194">
        <f t="shared" ref="E14:BP14" si="2">D15*($D$6/12)</f>
        <v>775654.34822945995</v>
      </c>
      <c r="F14" s="194">
        <f t="shared" si="2"/>
        <v>775654.34822945995</v>
      </c>
      <c r="G14" s="194">
        <f t="shared" si="2"/>
        <v>775654.34822945995</v>
      </c>
      <c r="H14" s="194">
        <f t="shared" si="2"/>
        <v>690328.78344369773</v>
      </c>
      <c r="I14" s="194">
        <f t="shared" si="2"/>
        <v>604789.90474597097</v>
      </c>
      <c r="J14" s="194">
        <f t="shared" si="2"/>
        <v>519037.17885149992</v>
      </c>
      <c r="K14" s="194">
        <f t="shared" si="2"/>
        <v>433070.0711422927</v>
      </c>
      <c r="L14" s="194">
        <f t="shared" si="2"/>
        <v>346888.04566381249</v>
      </c>
      <c r="M14" s="194">
        <f t="shared" si="2"/>
        <v>260490.56512163603</v>
      </c>
      <c r="N14" s="194">
        <f t="shared" si="2"/>
        <v>173877.09087810412</v>
      </c>
      <c r="O14" s="194">
        <f t="shared" si="2"/>
        <v>87047.08294896342</v>
      </c>
      <c r="P14" s="194">
        <f t="shared" si="2"/>
        <v>-1.4901161193847657E-10</v>
      </c>
      <c r="Q14" s="194">
        <f t="shared" si="2"/>
        <v>0</v>
      </c>
      <c r="R14" s="194">
        <f t="shared" si="2"/>
        <v>0</v>
      </c>
      <c r="S14" s="194">
        <f t="shared" si="2"/>
        <v>0</v>
      </c>
      <c r="T14" s="194">
        <f t="shared" si="2"/>
        <v>0</v>
      </c>
      <c r="U14" s="194">
        <f t="shared" si="2"/>
        <v>0</v>
      </c>
      <c r="V14" s="194">
        <f t="shared" si="2"/>
        <v>0</v>
      </c>
      <c r="W14" s="194">
        <f t="shared" si="2"/>
        <v>0</v>
      </c>
      <c r="X14" s="194">
        <f t="shared" si="2"/>
        <v>0</v>
      </c>
      <c r="Y14" s="194">
        <f t="shared" si="2"/>
        <v>0</v>
      </c>
      <c r="Z14" s="194">
        <f t="shared" si="2"/>
        <v>0</v>
      </c>
      <c r="AA14" s="194">
        <f t="shared" si="2"/>
        <v>0</v>
      </c>
      <c r="AB14" s="194">
        <f t="shared" si="2"/>
        <v>0</v>
      </c>
      <c r="AC14" s="194">
        <f t="shared" si="2"/>
        <v>0</v>
      </c>
      <c r="AD14" s="194">
        <f t="shared" si="2"/>
        <v>0</v>
      </c>
      <c r="AE14" s="194">
        <f t="shared" si="2"/>
        <v>0</v>
      </c>
      <c r="AF14" s="194">
        <f t="shared" si="2"/>
        <v>0</v>
      </c>
      <c r="AG14" s="194">
        <f t="shared" si="2"/>
        <v>0</v>
      </c>
      <c r="AH14" s="194">
        <f t="shared" si="2"/>
        <v>0</v>
      </c>
      <c r="AI14" s="194">
        <f t="shared" si="2"/>
        <v>0</v>
      </c>
      <c r="AJ14" s="194">
        <f t="shared" si="2"/>
        <v>0</v>
      </c>
      <c r="AK14" s="194">
        <f t="shared" si="2"/>
        <v>0</v>
      </c>
      <c r="AL14" s="194">
        <f t="shared" si="2"/>
        <v>0</v>
      </c>
      <c r="AM14" s="194">
        <f t="shared" si="2"/>
        <v>0</v>
      </c>
      <c r="AN14" s="194">
        <f t="shared" si="2"/>
        <v>0</v>
      </c>
      <c r="AO14" s="194">
        <f t="shared" si="2"/>
        <v>0</v>
      </c>
      <c r="AP14" s="194">
        <f t="shared" si="2"/>
        <v>0</v>
      </c>
      <c r="AQ14" s="194">
        <f t="shared" si="2"/>
        <v>0</v>
      </c>
      <c r="AR14" s="194">
        <f t="shared" si="2"/>
        <v>0</v>
      </c>
      <c r="AS14" s="194">
        <f t="shared" si="2"/>
        <v>0</v>
      </c>
      <c r="AT14" s="194">
        <f t="shared" si="2"/>
        <v>0</v>
      </c>
      <c r="AU14" s="194">
        <f t="shared" si="2"/>
        <v>0</v>
      </c>
      <c r="AV14" s="194">
        <f t="shared" si="2"/>
        <v>0</v>
      </c>
      <c r="AW14" s="194">
        <f t="shared" si="2"/>
        <v>0</v>
      </c>
      <c r="AX14" s="194">
        <f t="shared" si="2"/>
        <v>0</v>
      </c>
      <c r="AY14" s="194">
        <f t="shared" si="2"/>
        <v>0</v>
      </c>
      <c r="AZ14" s="194">
        <f t="shared" si="2"/>
        <v>0</v>
      </c>
      <c r="BA14" s="194">
        <f t="shared" si="2"/>
        <v>0</v>
      </c>
      <c r="BB14" s="194">
        <f t="shared" si="2"/>
        <v>0</v>
      </c>
      <c r="BC14" s="194">
        <f t="shared" si="2"/>
        <v>0</v>
      </c>
      <c r="BD14" s="194">
        <f t="shared" si="2"/>
        <v>0</v>
      </c>
      <c r="BE14" s="194">
        <f t="shared" si="2"/>
        <v>0</v>
      </c>
      <c r="BF14" s="194">
        <f t="shared" si="2"/>
        <v>0</v>
      </c>
      <c r="BG14" s="194">
        <f t="shared" si="2"/>
        <v>0</v>
      </c>
      <c r="BH14" s="194">
        <f t="shared" si="2"/>
        <v>0</v>
      </c>
      <c r="BI14" s="194">
        <f t="shared" si="2"/>
        <v>0</v>
      </c>
      <c r="BJ14" s="194">
        <f t="shared" si="2"/>
        <v>0</v>
      </c>
      <c r="BK14" s="194">
        <f t="shared" si="2"/>
        <v>0</v>
      </c>
      <c r="BL14" s="194">
        <f t="shared" si="2"/>
        <v>0</v>
      </c>
      <c r="BM14" s="194">
        <f t="shared" si="2"/>
        <v>0</v>
      </c>
      <c r="BN14" s="194">
        <f t="shared" si="2"/>
        <v>0</v>
      </c>
      <c r="BO14" s="194">
        <f t="shared" si="2"/>
        <v>0</v>
      </c>
      <c r="BP14" s="194">
        <f t="shared" si="2"/>
        <v>0</v>
      </c>
      <c r="BQ14" s="194">
        <f t="shared" ref="BQ14:DS14" si="3">BP15*($D$6/12)</f>
        <v>0</v>
      </c>
      <c r="BR14" s="194">
        <f t="shared" si="3"/>
        <v>0</v>
      </c>
      <c r="BS14" s="194">
        <f t="shared" si="3"/>
        <v>0</v>
      </c>
      <c r="BT14" s="194">
        <f t="shared" si="3"/>
        <v>0</v>
      </c>
      <c r="BU14" s="194">
        <f t="shared" si="3"/>
        <v>0</v>
      </c>
      <c r="BV14" s="194">
        <f t="shared" si="3"/>
        <v>0</v>
      </c>
      <c r="BW14" s="194">
        <f t="shared" si="3"/>
        <v>0</v>
      </c>
      <c r="BX14" s="194">
        <f t="shared" si="3"/>
        <v>0</v>
      </c>
      <c r="BY14" s="194">
        <f t="shared" si="3"/>
        <v>0</v>
      </c>
      <c r="BZ14" s="194">
        <f t="shared" si="3"/>
        <v>0</v>
      </c>
      <c r="CA14" s="194">
        <f t="shared" si="3"/>
        <v>0</v>
      </c>
      <c r="CB14" s="194">
        <f t="shared" si="3"/>
        <v>0</v>
      </c>
      <c r="CC14" s="194">
        <f t="shared" si="3"/>
        <v>0</v>
      </c>
      <c r="CD14" s="194">
        <f t="shared" si="3"/>
        <v>0</v>
      </c>
      <c r="CE14" s="194">
        <f t="shared" si="3"/>
        <v>0</v>
      </c>
      <c r="CF14" s="194">
        <f t="shared" si="3"/>
        <v>0</v>
      </c>
      <c r="CG14" s="194">
        <f t="shared" si="3"/>
        <v>0</v>
      </c>
      <c r="CH14" s="194">
        <f t="shared" si="3"/>
        <v>0</v>
      </c>
      <c r="CI14" s="194">
        <f t="shared" si="3"/>
        <v>0</v>
      </c>
      <c r="CJ14" s="194">
        <f t="shared" si="3"/>
        <v>0</v>
      </c>
      <c r="CK14" s="194">
        <f t="shared" si="3"/>
        <v>0</v>
      </c>
      <c r="CL14" s="194">
        <f t="shared" si="3"/>
        <v>0</v>
      </c>
      <c r="CM14" s="194">
        <f t="shared" si="3"/>
        <v>0</v>
      </c>
      <c r="CN14" s="194">
        <f t="shared" si="3"/>
        <v>0</v>
      </c>
      <c r="CO14" s="194">
        <f t="shared" si="3"/>
        <v>0</v>
      </c>
      <c r="CP14" s="194">
        <f t="shared" si="3"/>
        <v>0</v>
      </c>
      <c r="CQ14" s="194">
        <f t="shared" si="3"/>
        <v>0</v>
      </c>
      <c r="CR14" s="194">
        <f t="shared" si="3"/>
        <v>0</v>
      </c>
      <c r="CS14" s="194">
        <f t="shared" si="3"/>
        <v>0</v>
      </c>
      <c r="CT14" s="194">
        <f t="shared" si="3"/>
        <v>0</v>
      </c>
      <c r="CU14" s="194">
        <f t="shared" si="3"/>
        <v>0</v>
      </c>
      <c r="CV14" s="194">
        <f t="shared" si="3"/>
        <v>0</v>
      </c>
      <c r="CW14" s="194">
        <f t="shared" si="3"/>
        <v>0</v>
      </c>
      <c r="CX14" s="194">
        <f t="shared" si="3"/>
        <v>0</v>
      </c>
      <c r="CY14" s="194">
        <f t="shared" si="3"/>
        <v>0</v>
      </c>
      <c r="CZ14" s="194">
        <f t="shared" si="3"/>
        <v>0</v>
      </c>
      <c r="DA14" s="194">
        <f t="shared" si="3"/>
        <v>0</v>
      </c>
      <c r="DB14" s="194">
        <f t="shared" si="3"/>
        <v>0</v>
      </c>
      <c r="DC14" s="194">
        <f t="shared" si="3"/>
        <v>0</v>
      </c>
      <c r="DD14" s="194">
        <f t="shared" si="3"/>
        <v>0</v>
      </c>
      <c r="DE14" s="194">
        <f t="shared" si="3"/>
        <v>0</v>
      </c>
      <c r="DF14" s="194">
        <f t="shared" si="3"/>
        <v>0</v>
      </c>
      <c r="DG14" s="194">
        <f t="shared" si="3"/>
        <v>0</v>
      </c>
      <c r="DH14" s="194">
        <f t="shared" si="3"/>
        <v>0</v>
      </c>
      <c r="DI14" s="194">
        <f t="shared" si="3"/>
        <v>0</v>
      </c>
      <c r="DJ14" s="194">
        <f t="shared" si="3"/>
        <v>0</v>
      </c>
      <c r="DK14" s="194">
        <f t="shared" si="3"/>
        <v>0</v>
      </c>
      <c r="DL14" s="194">
        <f t="shared" si="3"/>
        <v>0</v>
      </c>
      <c r="DM14" s="194">
        <f t="shared" si="3"/>
        <v>0</v>
      </c>
      <c r="DN14" s="194">
        <f t="shared" si="3"/>
        <v>0</v>
      </c>
      <c r="DO14" s="194">
        <f t="shared" si="3"/>
        <v>0</v>
      </c>
      <c r="DP14" s="194">
        <f t="shared" si="3"/>
        <v>0</v>
      </c>
      <c r="DQ14" s="194">
        <f t="shared" si="3"/>
        <v>0</v>
      </c>
      <c r="DR14" s="194">
        <f t="shared" si="3"/>
        <v>0</v>
      </c>
      <c r="DS14" s="194">
        <f t="shared" si="3"/>
        <v>0</v>
      </c>
    </row>
    <row r="15" spans="1:123" x14ac:dyDescent="0.2">
      <c r="A15" s="423" t="s">
        <v>362</v>
      </c>
      <c r="B15" s="424"/>
      <c r="C15" s="193">
        <f>F7</f>
        <v>310261739.29178399</v>
      </c>
      <c r="D15" s="193">
        <f>IF(D12&lt;=$F8,+(C15-D13),0)</f>
        <v>310261739.29178399</v>
      </c>
      <c r="E15" s="193">
        <f>IF(E12&lt;=$F8,+(D15-E13),0)</f>
        <v>310261739.29178399</v>
      </c>
      <c r="F15" s="193">
        <f t="shared" ref="F15:BQ15" si="4">IF(F12&lt;=$F8,+(E15-F13),0)</f>
        <v>310261739.29178399</v>
      </c>
      <c r="G15" s="193">
        <f t="shared" si="4"/>
        <v>276131513.37747908</v>
      </c>
      <c r="H15" s="193">
        <f t="shared" si="4"/>
        <v>241915961.89838839</v>
      </c>
      <c r="I15" s="193">
        <f t="shared" si="4"/>
        <v>207614871.54059997</v>
      </c>
      <c r="J15" s="193">
        <f t="shared" si="4"/>
        <v>173228028.45691708</v>
      </c>
      <c r="K15" s="193">
        <f t="shared" si="4"/>
        <v>138755218.26552498</v>
      </c>
      <c r="L15" s="193">
        <f t="shared" si="4"/>
        <v>104196226.04865441</v>
      </c>
      <c r="M15" s="193">
        <f t="shared" si="4"/>
        <v>69550836.351241648</v>
      </c>
      <c r="N15" s="193">
        <f t="shared" si="4"/>
        <v>34818833.179585367</v>
      </c>
      <c r="O15" s="193">
        <f t="shared" si="4"/>
        <v>-5.9604644775390625E-8</v>
      </c>
      <c r="P15" s="193">
        <f t="shared" si="4"/>
        <v>0</v>
      </c>
      <c r="Q15" s="193">
        <f t="shared" si="4"/>
        <v>0</v>
      </c>
      <c r="R15" s="193">
        <f t="shared" si="4"/>
        <v>0</v>
      </c>
      <c r="S15" s="193">
        <f t="shared" si="4"/>
        <v>0</v>
      </c>
      <c r="T15" s="193">
        <f t="shared" si="4"/>
        <v>0</v>
      </c>
      <c r="U15" s="193">
        <f t="shared" si="4"/>
        <v>0</v>
      </c>
      <c r="V15" s="193">
        <f t="shared" si="4"/>
        <v>0</v>
      </c>
      <c r="W15" s="193">
        <f t="shared" si="4"/>
        <v>0</v>
      </c>
      <c r="X15" s="193">
        <f t="shared" si="4"/>
        <v>0</v>
      </c>
      <c r="Y15" s="193">
        <f t="shared" si="4"/>
        <v>0</v>
      </c>
      <c r="Z15" s="193">
        <f t="shared" si="4"/>
        <v>0</v>
      </c>
      <c r="AA15" s="193">
        <f t="shared" si="4"/>
        <v>0</v>
      </c>
      <c r="AB15" s="193">
        <f t="shared" si="4"/>
        <v>0</v>
      </c>
      <c r="AC15" s="193">
        <f t="shared" si="4"/>
        <v>0</v>
      </c>
      <c r="AD15" s="193">
        <f t="shared" si="4"/>
        <v>0</v>
      </c>
      <c r="AE15" s="193">
        <f t="shared" si="4"/>
        <v>0</v>
      </c>
      <c r="AF15" s="193">
        <f t="shared" si="4"/>
        <v>0</v>
      </c>
      <c r="AG15" s="193">
        <f t="shared" si="4"/>
        <v>0</v>
      </c>
      <c r="AH15" s="193">
        <f t="shared" si="4"/>
        <v>0</v>
      </c>
      <c r="AI15" s="193">
        <f t="shared" si="4"/>
        <v>0</v>
      </c>
      <c r="AJ15" s="193">
        <f t="shared" si="4"/>
        <v>0</v>
      </c>
      <c r="AK15" s="193">
        <f t="shared" si="4"/>
        <v>0</v>
      </c>
      <c r="AL15" s="193">
        <f t="shared" si="4"/>
        <v>0</v>
      </c>
      <c r="AM15" s="193">
        <f t="shared" si="4"/>
        <v>0</v>
      </c>
      <c r="AN15" s="193">
        <f t="shared" si="4"/>
        <v>0</v>
      </c>
      <c r="AO15" s="193">
        <f t="shared" si="4"/>
        <v>0</v>
      </c>
      <c r="AP15" s="193">
        <f t="shared" si="4"/>
        <v>0</v>
      </c>
      <c r="AQ15" s="193">
        <f t="shared" si="4"/>
        <v>0</v>
      </c>
      <c r="AR15" s="193">
        <f t="shared" si="4"/>
        <v>0</v>
      </c>
      <c r="AS15" s="193">
        <f t="shared" si="4"/>
        <v>0</v>
      </c>
      <c r="AT15" s="193">
        <f t="shared" si="4"/>
        <v>0</v>
      </c>
      <c r="AU15" s="193">
        <f t="shared" si="4"/>
        <v>0</v>
      </c>
      <c r="AV15" s="193">
        <f t="shared" si="4"/>
        <v>0</v>
      </c>
      <c r="AW15" s="193">
        <f t="shared" si="4"/>
        <v>0</v>
      </c>
      <c r="AX15" s="193">
        <f t="shared" si="4"/>
        <v>0</v>
      </c>
      <c r="AY15" s="193">
        <f t="shared" si="4"/>
        <v>0</v>
      </c>
      <c r="AZ15" s="193">
        <f t="shared" si="4"/>
        <v>0</v>
      </c>
      <c r="BA15" s="193">
        <f t="shared" si="4"/>
        <v>0</v>
      </c>
      <c r="BB15" s="193">
        <f t="shared" si="4"/>
        <v>0</v>
      </c>
      <c r="BC15" s="193">
        <f t="shared" si="4"/>
        <v>0</v>
      </c>
      <c r="BD15" s="193">
        <f t="shared" si="4"/>
        <v>0</v>
      </c>
      <c r="BE15" s="193">
        <f t="shared" si="4"/>
        <v>0</v>
      </c>
      <c r="BF15" s="193">
        <f t="shared" si="4"/>
        <v>0</v>
      </c>
      <c r="BG15" s="193">
        <f t="shared" si="4"/>
        <v>0</v>
      </c>
      <c r="BH15" s="193">
        <f t="shared" si="4"/>
        <v>0</v>
      </c>
      <c r="BI15" s="193">
        <f t="shared" si="4"/>
        <v>0</v>
      </c>
      <c r="BJ15" s="193">
        <f t="shared" si="4"/>
        <v>0</v>
      </c>
      <c r="BK15" s="193">
        <f t="shared" si="4"/>
        <v>0</v>
      </c>
      <c r="BL15" s="193">
        <f t="shared" si="4"/>
        <v>0</v>
      </c>
      <c r="BM15" s="193">
        <f t="shared" si="4"/>
        <v>0</v>
      </c>
      <c r="BN15" s="193">
        <f t="shared" si="4"/>
        <v>0</v>
      </c>
      <c r="BO15" s="193">
        <f t="shared" si="4"/>
        <v>0</v>
      </c>
      <c r="BP15" s="193">
        <f t="shared" si="4"/>
        <v>0</v>
      </c>
      <c r="BQ15" s="193">
        <f t="shared" si="4"/>
        <v>0</v>
      </c>
      <c r="BR15" s="193">
        <f t="shared" ref="BR15:DS15" si="5">IF(BR12&lt;=$F8,+(BQ15-BR13),0)</f>
        <v>0</v>
      </c>
      <c r="BS15" s="193">
        <f t="shared" si="5"/>
        <v>0</v>
      </c>
      <c r="BT15" s="193">
        <f t="shared" si="5"/>
        <v>0</v>
      </c>
      <c r="BU15" s="193">
        <f t="shared" si="5"/>
        <v>0</v>
      </c>
      <c r="BV15" s="193">
        <f t="shared" si="5"/>
        <v>0</v>
      </c>
      <c r="BW15" s="193">
        <f t="shared" si="5"/>
        <v>0</v>
      </c>
      <c r="BX15" s="193">
        <f t="shared" si="5"/>
        <v>0</v>
      </c>
      <c r="BY15" s="193">
        <f t="shared" si="5"/>
        <v>0</v>
      </c>
      <c r="BZ15" s="193">
        <f t="shared" si="5"/>
        <v>0</v>
      </c>
      <c r="CA15" s="193">
        <f t="shared" si="5"/>
        <v>0</v>
      </c>
      <c r="CB15" s="193">
        <f t="shared" si="5"/>
        <v>0</v>
      </c>
      <c r="CC15" s="193">
        <f t="shared" si="5"/>
        <v>0</v>
      </c>
      <c r="CD15" s="193">
        <f t="shared" si="5"/>
        <v>0</v>
      </c>
      <c r="CE15" s="193">
        <f t="shared" si="5"/>
        <v>0</v>
      </c>
      <c r="CF15" s="193">
        <f t="shared" si="5"/>
        <v>0</v>
      </c>
      <c r="CG15" s="193">
        <f t="shared" si="5"/>
        <v>0</v>
      </c>
      <c r="CH15" s="193">
        <f t="shared" si="5"/>
        <v>0</v>
      </c>
      <c r="CI15" s="193">
        <f t="shared" si="5"/>
        <v>0</v>
      </c>
      <c r="CJ15" s="193">
        <f t="shared" si="5"/>
        <v>0</v>
      </c>
      <c r="CK15" s="193">
        <f t="shared" si="5"/>
        <v>0</v>
      </c>
      <c r="CL15" s="193">
        <f t="shared" si="5"/>
        <v>0</v>
      </c>
      <c r="CM15" s="193">
        <f t="shared" si="5"/>
        <v>0</v>
      </c>
      <c r="CN15" s="193">
        <f t="shared" si="5"/>
        <v>0</v>
      </c>
      <c r="CO15" s="193">
        <f t="shared" si="5"/>
        <v>0</v>
      </c>
      <c r="CP15" s="193">
        <f t="shared" si="5"/>
        <v>0</v>
      </c>
      <c r="CQ15" s="193">
        <f t="shared" si="5"/>
        <v>0</v>
      </c>
      <c r="CR15" s="193">
        <f t="shared" si="5"/>
        <v>0</v>
      </c>
      <c r="CS15" s="193">
        <f t="shared" si="5"/>
        <v>0</v>
      </c>
      <c r="CT15" s="193">
        <f t="shared" si="5"/>
        <v>0</v>
      </c>
      <c r="CU15" s="193">
        <f t="shared" si="5"/>
        <v>0</v>
      </c>
      <c r="CV15" s="193">
        <f t="shared" si="5"/>
        <v>0</v>
      </c>
      <c r="CW15" s="193">
        <f t="shared" si="5"/>
        <v>0</v>
      </c>
      <c r="CX15" s="193">
        <f t="shared" si="5"/>
        <v>0</v>
      </c>
      <c r="CY15" s="193">
        <f t="shared" si="5"/>
        <v>0</v>
      </c>
      <c r="CZ15" s="193">
        <f t="shared" si="5"/>
        <v>0</v>
      </c>
      <c r="DA15" s="193">
        <f t="shared" si="5"/>
        <v>0</v>
      </c>
      <c r="DB15" s="193">
        <f t="shared" si="5"/>
        <v>0</v>
      </c>
      <c r="DC15" s="193">
        <f t="shared" si="5"/>
        <v>0</v>
      </c>
      <c r="DD15" s="193">
        <f t="shared" si="5"/>
        <v>0</v>
      </c>
      <c r="DE15" s="193">
        <f t="shared" si="5"/>
        <v>0</v>
      </c>
      <c r="DF15" s="193">
        <f t="shared" si="5"/>
        <v>0</v>
      </c>
      <c r="DG15" s="193">
        <f t="shared" si="5"/>
        <v>0</v>
      </c>
      <c r="DH15" s="193">
        <f t="shared" si="5"/>
        <v>0</v>
      </c>
      <c r="DI15" s="193">
        <f t="shared" si="5"/>
        <v>0</v>
      </c>
      <c r="DJ15" s="193">
        <f t="shared" si="5"/>
        <v>0</v>
      </c>
      <c r="DK15" s="193">
        <f t="shared" si="5"/>
        <v>0</v>
      </c>
      <c r="DL15" s="193">
        <f t="shared" si="5"/>
        <v>0</v>
      </c>
      <c r="DM15" s="193">
        <f t="shared" si="5"/>
        <v>0</v>
      </c>
      <c r="DN15" s="193">
        <f t="shared" si="5"/>
        <v>0</v>
      </c>
      <c r="DO15" s="193">
        <f t="shared" si="5"/>
        <v>0</v>
      </c>
      <c r="DP15" s="193">
        <f t="shared" si="5"/>
        <v>0</v>
      </c>
      <c r="DQ15" s="193">
        <f t="shared" si="5"/>
        <v>0</v>
      </c>
      <c r="DR15" s="193">
        <f t="shared" si="5"/>
        <v>0</v>
      </c>
      <c r="DS15" s="193">
        <f t="shared" si="5"/>
        <v>0</v>
      </c>
    </row>
    <row r="16" spans="1:123" ht="12" thickBot="1" x14ac:dyDescent="0.25">
      <c r="A16" s="425" t="s">
        <v>363</v>
      </c>
      <c r="B16" s="426"/>
      <c r="C16" s="195"/>
      <c r="D16" s="195">
        <f>IF($F8&gt;=D12,IF($F9-D12&gt;=0,D14,$F10),0)</f>
        <v>775654.34822945995</v>
      </c>
      <c r="E16" s="195">
        <f t="shared" ref="E16:BP16" si="6">IF($F8&gt;=E12,IF($F9-E12&gt;=0,E14,$F10),0)</f>
        <v>775654.34822945995</v>
      </c>
      <c r="F16" s="195">
        <f t="shared" si="6"/>
        <v>775654.34822945995</v>
      </c>
      <c r="G16" s="195">
        <f t="shared" si="6"/>
        <v>34905880.262534387</v>
      </c>
      <c r="H16" s="195">
        <f t="shared" si="6"/>
        <v>34905880.262534387</v>
      </c>
      <c r="I16" s="195">
        <f t="shared" si="6"/>
        <v>34905880.262534387</v>
      </c>
      <c r="J16" s="195">
        <f t="shared" si="6"/>
        <v>34905880.262534387</v>
      </c>
      <c r="K16" s="195">
        <f t="shared" si="6"/>
        <v>34905880.262534387</v>
      </c>
      <c r="L16" s="195">
        <f t="shared" si="6"/>
        <v>34905880.262534387</v>
      </c>
      <c r="M16" s="195">
        <f t="shared" si="6"/>
        <v>34905880.262534387</v>
      </c>
      <c r="N16" s="195">
        <f t="shared" si="6"/>
        <v>34905880.262534387</v>
      </c>
      <c r="O16" s="195">
        <f t="shared" si="6"/>
        <v>34905880.262534387</v>
      </c>
      <c r="P16" s="195">
        <f t="shared" si="6"/>
        <v>0</v>
      </c>
      <c r="Q16" s="195">
        <f t="shared" si="6"/>
        <v>0</v>
      </c>
      <c r="R16" s="195">
        <f t="shared" si="6"/>
        <v>0</v>
      </c>
      <c r="S16" s="195">
        <f t="shared" si="6"/>
        <v>0</v>
      </c>
      <c r="T16" s="195">
        <f t="shared" si="6"/>
        <v>0</v>
      </c>
      <c r="U16" s="195">
        <f t="shared" si="6"/>
        <v>0</v>
      </c>
      <c r="V16" s="195">
        <f t="shared" si="6"/>
        <v>0</v>
      </c>
      <c r="W16" s="195">
        <f t="shared" si="6"/>
        <v>0</v>
      </c>
      <c r="X16" s="195">
        <f t="shared" si="6"/>
        <v>0</v>
      </c>
      <c r="Y16" s="195">
        <f t="shared" si="6"/>
        <v>0</v>
      </c>
      <c r="Z16" s="195">
        <f t="shared" si="6"/>
        <v>0</v>
      </c>
      <c r="AA16" s="195">
        <f t="shared" si="6"/>
        <v>0</v>
      </c>
      <c r="AB16" s="195">
        <f t="shared" si="6"/>
        <v>0</v>
      </c>
      <c r="AC16" s="195">
        <f t="shared" si="6"/>
        <v>0</v>
      </c>
      <c r="AD16" s="195">
        <f t="shared" si="6"/>
        <v>0</v>
      </c>
      <c r="AE16" s="195">
        <f t="shared" si="6"/>
        <v>0</v>
      </c>
      <c r="AF16" s="195">
        <f t="shared" si="6"/>
        <v>0</v>
      </c>
      <c r="AG16" s="195">
        <f t="shared" si="6"/>
        <v>0</v>
      </c>
      <c r="AH16" s="195">
        <f t="shared" si="6"/>
        <v>0</v>
      </c>
      <c r="AI16" s="195">
        <f t="shared" si="6"/>
        <v>0</v>
      </c>
      <c r="AJ16" s="195">
        <f t="shared" si="6"/>
        <v>0</v>
      </c>
      <c r="AK16" s="195">
        <f t="shared" si="6"/>
        <v>0</v>
      </c>
      <c r="AL16" s="195">
        <f t="shared" si="6"/>
        <v>0</v>
      </c>
      <c r="AM16" s="195">
        <f t="shared" si="6"/>
        <v>0</v>
      </c>
      <c r="AN16" s="195">
        <f t="shared" si="6"/>
        <v>0</v>
      </c>
      <c r="AO16" s="195">
        <f t="shared" si="6"/>
        <v>0</v>
      </c>
      <c r="AP16" s="195">
        <f t="shared" si="6"/>
        <v>0</v>
      </c>
      <c r="AQ16" s="195">
        <f t="shared" si="6"/>
        <v>0</v>
      </c>
      <c r="AR16" s="195">
        <f t="shared" si="6"/>
        <v>0</v>
      </c>
      <c r="AS16" s="195">
        <f t="shared" si="6"/>
        <v>0</v>
      </c>
      <c r="AT16" s="195">
        <f t="shared" si="6"/>
        <v>0</v>
      </c>
      <c r="AU16" s="195">
        <f t="shared" si="6"/>
        <v>0</v>
      </c>
      <c r="AV16" s="195">
        <f t="shared" si="6"/>
        <v>0</v>
      </c>
      <c r="AW16" s="195">
        <f t="shared" si="6"/>
        <v>0</v>
      </c>
      <c r="AX16" s="195">
        <f t="shared" si="6"/>
        <v>0</v>
      </c>
      <c r="AY16" s="195">
        <f t="shared" si="6"/>
        <v>0</v>
      </c>
      <c r="AZ16" s="195">
        <f t="shared" si="6"/>
        <v>0</v>
      </c>
      <c r="BA16" s="195">
        <f t="shared" si="6"/>
        <v>0</v>
      </c>
      <c r="BB16" s="195">
        <f t="shared" si="6"/>
        <v>0</v>
      </c>
      <c r="BC16" s="195">
        <f t="shared" si="6"/>
        <v>0</v>
      </c>
      <c r="BD16" s="195">
        <f t="shared" si="6"/>
        <v>0</v>
      </c>
      <c r="BE16" s="195">
        <f t="shared" si="6"/>
        <v>0</v>
      </c>
      <c r="BF16" s="195">
        <f t="shared" si="6"/>
        <v>0</v>
      </c>
      <c r="BG16" s="195">
        <f t="shared" si="6"/>
        <v>0</v>
      </c>
      <c r="BH16" s="195">
        <f t="shared" si="6"/>
        <v>0</v>
      </c>
      <c r="BI16" s="195">
        <f t="shared" si="6"/>
        <v>0</v>
      </c>
      <c r="BJ16" s="195">
        <f t="shared" si="6"/>
        <v>0</v>
      </c>
      <c r="BK16" s="195">
        <f t="shared" si="6"/>
        <v>0</v>
      </c>
      <c r="BL16" s="195">
        <f t="shared" si="6"/>
        <v>0</v>
      </c>
      <c r="BM16" s="195">
        <f t="shared" si="6"/>
        <v>0</v>
      </c>
      <c r="BN16" s="195">
        <f t="shared" si="6"/>
        <v>0</v>
      </c>
      <c r="BO16" s="195">
        <f t="shared" si="6"/>
        <v>0</v>
      </c>
      <c r="BP16" s="195">
        <f t="shared" si="6"/>
        <v>0</v>
      </c>
      <c r="BQ16" s="195">
        <f t="shared" ref="BQ16:DS16" si="7">IF($F8&gt;=BQ12,IF($F9-BQ12&gt;=0,BQ14,$F10),0)</f>
        <v>0</v>
      </c>
      <c r="BR16" s="195">
        <f t="shared" si="7"/>
        <v>0</v>
      </c>
      <c r="BS16" s="195">
        <f t="shared" si="7"/>
        <v>0</v>
      </c>
      <c r="BT16" s="195">
        <f t="shared" si="7"/>
        <v>0</v>
      </c>
      <c r="BU16" s="195">
        <f t="shared" si="7"/>
        <v>0</v>
      </c>
      <c r="BV16" s="195">
        <f t="shared" si="7"/>
        <v>0</v>
      </c>
      <c r="BW16" s="195">
        <f t="shared" si="7"/>
        <v>0</v>
      </c>
      <c r="BX16" s="195">
        <f t="shared" si="7"/>
        <v>0</v>
      </c>
      <c r="BY16" s="195">
        <f t="shared" si="7"/>
        <v>0</v>
      </c>
      <c r="BZ16" s="195">
        <f t="shared" si="7"/>
        <v>0</v>
      </c>
      <c r="CA16" s="195">
        <f t="shared" si="7"/>
        <v>0</v>
      </c>
      <c r="CB16" s="195">
        <f t="shared" si="7"/>
        <v>0</v>
      </c>
      <c r="CC16" s="195">
        <f t="shared" si="7"/>
        <v>0</v>
      </c>
      <c r="CD16" s="195">
        <f t="shared" si="7"/>
        <v>0</v>
      </c>
      <c r="CE16" s="195">
        <f t="shared" si="7"/>
        <v>0</v>
      </c>
      <c r="CF16" s="195">
        <f t="shared" si="7"/>
        <v>0</v>
      </c>
      <c r="CG16" s="195">
        <f t="shared" si="7"/>
        <v>0</v>
      </c>
      <c r="CH16" s="195">
        <f t="shared" si="7"/>
        <v>0</v>
      </c>
      <c r="CI16" s="195">
        <f t="shared" si="7"/>
        <v>0</v>
      </c>
      <c r="CJ16" s="195">
        <f t="shared" si="7"/>
        <v>0</v>
      </c>
      <c r="CK16" s="195">
        <f t="shared" si="7"/>
        <v>0</v>
      </c>
      <c r="CL16" s="195">
        <f t="shared" si="7"/>
        <v>0</v>
      </c>
      <c r="CM16" s="195">
        <f t="shared" si="7"/>
        <v>0</v>
      </c>
      <c r="CN16" s="195">
        <f t="shared" si="7"/>
        <v>0</v>
      </c>
      <c r="CO16" s="195">
        <f t="shared" si="7"/>
        <v>0</v>
      </c>
      <c r="CP16" s="195">
        <f t="shared" si="7"/>
        <v>0</v>
      </c>
      <c r="CQ16" s="195">
        <f t="shared" si="7"/>
        <v>0</v>
      </c>
      <c r="CR16" s="195">
        <f t="shared" si="7"/>
        <v>0</v>
      </c>
      <c r="CS16" s="195">
        <f t="shared" si="7"/>
        <v>0</v>
      </c>
      <c r="CT16" s="195">
        <f t="shared" si="7"/>
        <v>0</v>
      </c>
      <c r="CU16" s="195">
        <f t="shared" si="7"/>
        <v>0</v>
      </c>
      <c r="CV16" s="195">
        <f t="shared" si="7"/>
        <v>0</v>
      </c>
      <c r="CW16" s="195">
        <f t="shared" si="7"/>
        <v>0</v>
      </c>
      <c r="CX16" s="195">
        <f t="shared" si="7"/>
        <v>0</v>
      </c>
      <c r="CY16" s="195">
        <f t="shared" si="7"/>
        <v>0</v>
      </c>
      <c r="CZ16" s="195">
        <f t="shared" si="7"/>
        <v>0</v>
      </c>
      <c r="DA16" s="195">
        <f t="shared" si="7"/>
        <v>0</v>
      </c>
      <c r="DB16" s="195">
        <f t="shared" si="7"/>
        <v>0</v>
      </c>
      <c r="DC16" s="195">
        <f t="shared" si="7"/>
        <v>0</v>
      </c>
      <c r="DD16" s="195">
        <f t="shared" si="7"/>
        <v>0</v>
      </c>
      <c r="DE16" s="195">
        <f t="shared" si="7"/>
        <v>0</v>
      </c>
      <c r="DF16" s="195">
        <f t="shared" si="7"/>
        <v>0</v>
      </c>
      <c r="DG16" s="195">
        <f t="shared" si="7"/>
        <v>0</v>
      </c>
      <c r="DH16" s="195">
        <f t="shared" si="7"/>
        <v>0</v>
      </c>
      <c r="DI16" s="195">
        <f t="shared" si="7"/>
        <v>0</v>
      </c>
      <c r="DJ16" s="195">
        <f t="shared" si="7"/>
        <v>0</v>
      </c>
      <c r="DK16" s="195">
        <f t="shared" si="7"/>
        <v>0</v>
      </c>
      <c r="DL16" s="195">
        <f t="shared" si="7"/>
        <v>0</v>
      </c>
      <c r="DM16" s="195">
        <f t="shared" si="7"/>
        <v>0</v>
      </c>
      <c r="DN16" s="195">
        <f t="shared" si="7"/>
        <v>0</v>
      </c>
      <c r="DO16" s="195">
        <f t="shared" si="7"/>
        <v>0</v>
      </c>
      <c r="DP16" s="195">
        <f t="shared" si="7"/>
        <v>0</v>
      </c>
      <c r="DQ16" s="195">
        <f t="shared" si="7"/>
        <v>0</v>
      </c>
      <c r="DR16" s="195">
        <f t="shared" si="7"/>
        <v>0</v>
      </c>
      <c r="DS16" s="195">
        <f t="shared" si="7"/>
        <v>0</v>
      </c>
    </row>
    <row r="17" spans="1:123" x14ac:dyDescent="0.2">
      <c r="A17" s="188"/>
      <c r="B17" s="188"/>
      <c r="C17" s="188"/>
      <c r="D17" s="188"/>
      <c r="E17" s="188"/>
      <c r="F17" s="189"/>
      <c r="G17" s="188"/>
      <c r="H17" s="196"/>
      <c r="I17" s="188"/>
      <c r="J17" s="188"/>
      <c r="K17" s="188"/>
    </row>
    <row r="18" spans="1:123" ht="12" hidden="1" thickBot="1" x14ac:dyDescent="0.25">
      <c r="A18" s="411" t="s">
        <v>364</v>
      </c>
      <c r="B18" s="412"/>
      <c r="C18" s="412"/>
      <c r="D18" s="412"/>
      <c r="E18" s="412"/>
      <c r="F18" s="413"/>
    </row>
    <row r="19" spans="1:123" ht="23.25" hidden="1" thickBot="1" x14ac:dyDescent="0.25">
      <c r="A19" s="427"/>
      <c r="B19" s="428"/>
      <c r="C19" s="428"/>
      <c r="D19" s="197" t="s">
        <v>365</v>
      </c>
      <c r="E19" s="198" t="s">
        <v>366</v>
      </c>
      <c r="F19" s="199" t="s">
        <v>367</v>
      </c>
    </row>
    <row r="20" spans="1:123" hidden="1" x14ac:dyDescent="0.2">
      <c r="A20" s="429" t="s">
        <v>354</v>
      </c>
      <c r="B20" s="430"/>
      <c r="C20" s="431"/>
      <c r="D20" s="432"/>
      <c r="E20" s="433"/>
      <c r="F20" s="183"/>
    </row>
    <row r="21" spans="1:123" hidden="1" x14ac:dyDescent="0.2">
      <c r="A21" s="434" t="s">
        <v>355</v>
      </c>
      <c r="B21" s="435"/>
      <c r="C21" s="436"/>
      <c r="D21" s="184">
        <v>0</v>
      </c>
      <c r="E21" s="200"/>
      <c r="F21" s="186">
        <f>D21+E21</f>
        <v>0</v>
      </c>
    </row>
    <row r="22" spans="1:123" ht="12.75" hidden="1" customHeight="1" x14ac:dyDescent="0.2">
      <c r="A22" s="434" t="s">
        <v>356</v>
      </c>
      <c r="B22" s="435"/>
      <c r="C22" s="436"/>
      <c r="D22" s="437"/>
      <c r="E22" s="438"/>
      <c r="F22" s="186">
        <f>D22</f>
        <v>0</v>
      </c>
    </row>
    <row r="23" spans="1:123" ht="13.5" hidden="1" customHeight="1" thickBot="1" x14ac:dyDescent="0.25">
      <c r="A23" s="439" t="s">
        <v>357</v>
      </c>
      <c r="B23" s="440"/>
      <c r="C23" s="441"/>
      <c r="D23" s="442"/>
      <c r="E23" s="443"/>
      <c r="F23" s="186">
        <f>D23</f>
        <v>0</v>
      </c>
    </row>
    <row r="24" spans="1:123" ht="12" hidden="1" thickBot="1" x14ac:dyDescent="0.25">
      <c r="A24" s="444" t="s">
        <v>358</v>
      </c>
      <c r="B24" s="445"/>
      <c r="C24" s="446"/>
      <c r="D24" s="427"/>
      <c r="E24" s="447"/>
      <c r="F24" s="201">
        <f>IF(ISERROR((PMT($D$20/12,F22-F23,-F21))),0,(PMT($D$20/12,F22-F23,-F21)))</f>
        <v>0</v>
      </c>
    </row>
    <row r="25" spans="1:123" hidden="1" x14ac:dyDescent="0.2"/>
    <row r="26" spans="1:123" s="188" customFormat="1" hidden="1" x14ac:dyDescent="0.2">
      <c r="A26" s="419" t="s">
        <v>359</v>
      </c>
      <c r="B26" s="420"/>
      <c r="C26" s="190">
        <f>COUNTA(#REF!)-1</f>
        <v>0</v>
      </c>
      <c r="D26" s="190">
        <v>1</v>
      </c>
      <c r="E26" s="190">
        <v>2</v>
      </c>
      <c r="F26" s="190">
        <v>3</v>
      </c>
      <c r="G26" s="190">
        <v>4</v>
      </c>
      <c r="H26" s="190">
        <v>5</v>
      </c>
      <c r="I26" s="190">
        <v>6</v>
      </c>
      <c r="J26" s="190">
        <v>7</v>
      </c>
      <c r="K26" s="190">
        <v>8</v>
      </c>
      <c r="L26" s="190">
        <v>9</v>
      </c>
      <c r="M26" s="190">
        <v>10</v>
      </c>
      <c r="N26" s="190">
        <v>11</v>
      </c>
      <c r="O26" s="190">
        <v>12</v>
      </c>
      <c r="P26" s="190">
        <v>13</v>
      </c>
      <c r="Q26" s="190">
        <v>14</v>
      </c>
      <c r="R26" s="190">
        <v>15</v>
      </c>
      <c r="S26" s="190">
        <v>16</v>
      </c>
      <c r="T26" s="190">
        <v>17</v>
      </c>
      <c r="U26" s="190">
        <v>18</v>
      </c>
      <c r="V26" s="190">
        <v>19</v>
      </c>
      <c r="W26" s="190">
        <v>20</v>
      </c>
      <c r="X26" s="190">
        <v>21</v>
      </c>
      <c r="Y26" s="190">
        <v>22</v>
      </c>
      <c r="Z26" s="190">
        <v>23</v>
      </c>
      <c r="AA26" s="190">
        <v>24</v>
      </c>
      <c r="AB26" s="190">
        <v>25</v>
      </c>
      <c r="AC26" s="190">
        <v>26</v>
      </c>
      <c r="AD26" s="190">
        <v>27</v>
      </c>
      <c r="AE26" s="190">
        <v>28</v>
      </c>
      <c r="AF26" s="190">
        <v>29</v>
      </c>
      <c r="AG26" s="190">
        <v>30</v>
      </c>
      <c r="AH26" s="190">
        <v>31</v>
      </c>
      <c r="AI26" s="190">
        <v>32</v>
      </c>
      <c r="AJ26" s="190">
        <v>33</v>
      </c>
      <c r="AK26" s="190">
        <v>34</v>
      </c>
      <c r="AL26" s="190">
        <v>35</v>
      </c>
      <c r="AM26" s="190">
        <v>36</v>
      </c>
      <c r="AN26" s="190">
        <v>37</v>
      </c>
      <c r="AO26" s="190">
        <v>38</v>
      </c>
      <c r="AP26" s="190">
        <v>39</v>
      </c>
      <c r="AQ26" s="190">
        <v>40</v>
      </c>
      <c r="AR26" s="190">
        <v>41</v>
      </c>
      <c r="AS26" s="190">
        <v>42</v>
      </c>
      <c r="AT26" s="190">
        <v>43</v>
      </c>
      <c r="AU26" s="190">
        <v>44</v>
      </c>
      <c r="AV26" s="190">
        <v>45</v>
      </c>
      <c r="AW26" s="190">
        <v>46</v>
      </c>
      <c r="AX26" s="190">
        <v>47</v>
      </c>
      <c r="AY26" s="190">
        <v>48</v>
      </c>
      <c r="AZ26" s="190">
        <v>49</v>
      </c>
      <c r="BA26" s="190">
        <v>50</v>
      </c>
      <c r="BB26" s="190">
        <v>51</v>
      </c>
      <c r="BC26" s="190">
        <v>52</v>
      </c>
      <c r="BD26" s="190">
        <v>53</v>
      </c>
      <c r="BE26" s="190">
        <v>54</v>
      </c>
      <c r="BF26" s="190">
        <v>55</v>
      </c>
      <c r="BG26" s="190">
        <v>56</v>
      </c>
      <c r="BH26" s="190">
        <v>57</v>
      </c>
      <c r="BI26" s="190">
        <v>58</v>
      </c>
      <c r="BJ26" s="190">
        <v>59</v>
      </c>
      <c r="BK26" s="191">
        <v>60</v>
      </c>
      <c r="BL26" s="190">
        <v>61</v>
      </c>
      <c r="BM26" s="191">
        <v>62</v>
      </c>
      <c r="BN26" s="190">
        <v>63</v>
      </c>
      <c r="BO26" s="191">
        <v>64</v>
      </c>
      <c r="BP26" s="190">
        <v>65</v>
      </c>
      <c r="BQ26" s="191">
        <v>66</v>
      </c>
      <c r="BR26" s="190">
        <v>67</v>
      </c>
      <c r="BS26" s="191">
        <v>68</v>
      </c>
      <c r="BT26" s="190">
        <v>69</v>
      </c>
      <c r="BU26" s="191">
        <v>70</v>
      </c>
      <c r="BV26" s="190">
        <v>71</v>
      </c>
      <c r="BW26" s="191">
        <v>72</v>
      </c>
      <c r="BX26" s="190">
        <v>73</v>
      </c>
      <c r="BY26" s="191">
        <v>74</v>
      </c>
      <c r="BZ26" s="190">
        <v>75</v>
      </c>
      <c r="CA26" s="191">
        <v>76</v>
      </c>
      <c r="CB26" s="190">
        <v>77</v>
      </c>
      <c r="CC26" s="191">
        <v>78</v>
      </c>
      <c r="CD26" s="190">
        <v>79</v>
      </c>
      <c r="CE26" s="191">
        <v>80</v>
      </c>
      <c r="CF26" s="190">
        <v>81</v>
      </c>
      <c r="CG26" s="191">
        <v>82</v>
      </c>
      <c r="CH26" s="190">
        <v>83</v>
      </c>
      <c r="CI26" s="191">
        <v>84</v>
      </c>
      <c r="CJ26" s="190">
        <v>85</v>
      </c>
      <c r="CK26" s="191">
        <v>86</v>
      </c>
      <c r="CL26" s="190">
        <v>87</v>
      </c>
      <c r="CM26" s="191">
        <v>88</v>
      </c>
      <c r="CN26" s="190">
        <v>89</v>
      </c>
      <c r="CO26" s="191">
        <v>90</v>
      </c>
      <c r="CP26" s="190">
        <v>91</v>
      </c>
      <c r="CQ26" s="191">
        <v>92</v>
      </c>
      <c r="CR26" s="190">
        <v>93</v>
      </c>
      <c r="CS26" s="191">
        <v>94</v>
      </c>
      <c r="CT26" s="190">
        <v>95</v>
      </c>
      <c r="CU26" s="191">
        <v>96</v>
      </c>
      <c r="CV26" s="190">
        <v>97</v>
      </c>
      <c r="CW26" s="191">
        <v>98</v>
      </c>
      <c r="CX26" s="190">
        <v>99</v>
      </c>
      <c r="CY26" s="191">
        <v>100</v>
      </c>
      <c r="CZ26" s="190">
        <v>101</v>
      </c>
      <c r="DA26" s="191">
        <v>102</v>
      </c>
      <c r="DB26" s="190">
        <v>103</v>
      </c>
      <c r="DC26" s="191">
        <v>104</v>
      </c>
      <c r="DD26" s="190">
        <v>105</v>
      </c>
      <c r="DE26" s="191">
        <v>106</v>
      </c>
      <c r="DF26" s="190">
        <v>107</v>
      </c>
      <c r="DG26" s="191">
        <v>108</v>
      </c>
      <c r="DH26" s="190">
        <v>109</v>
      </c>
      <c r="DI26" s="191">
        <v>110</v>
      </c>
      <c r="DJ26" s="190">
        <v>111</v>
      </c>
      <c r="DK26" s="191">
        <v>112</v>
      </c>
      <c r="DL26" s="190">
        <v>113</v>
      </c>
      <c r="DM26" s="191">
        <v>114</v>
      </c>
      <c r="DN26" s="190">
        <v>115</v>
      </c>
      <c r="DO26" s="191">
        <v>116</v>
      </c>
      <c r="DP26" s="190">
        <v>117</v>
      </c>
      <c r="DQ26" s="191">
        <v>118</v>
      </c>
      <c r="DR26" s="190">
        <v>119</v>
      </c>
      <c r="DS26" s="191">
        <v>120</v>
      </c>
    </row>
    <row r="27" spans="1:123" hidden="1" x14ac:dyDescent="0.2">
      <c r="A27" s="421" t="s">
        <v>360</v>
      </c>
      <c r="B27" s="422"/>
      <c r="C27" s="192"/>
      <c r="D27" s="192">
        <f>IF(D26&lt;=$F22,IF(D26&gt;$F23,$F21/($F22-$F23),0),0)</f>
        <v>0</v>
      </c>
      <c r="E27" s="192">
        <f>IF(E26&lt;=$F22,IF(E26&gt;$F23,$F21/($F22-$F23),0),0)</f>
        <v>0</v>
      </c>
      <c r="F27" s="192">
        <f t="shared" ref="F27:BQ27" si="8">IF(F26&lt;=$F22,IF(F26&gt;$F23,$F21/($F22-$F23),0),0)</f>
        <v>0</v>
      </c>
      <c r="G27" s="192">
        <f t="shared" si="8"/>
        <v>0</v>
      </c>
      <c r="H27" s="192">
        <f t="shared" si="8"/>
        <v>0</v>
      </c>
      <c r="I27" s="192">
        <f t="shared" si="8"/>
        <v>0</v>
      </c>
      <c r="J27" s="192">
        <f t="shared" si="8"/>
        <v>0</v>
      </c>
      <c r="K27" s="192">
        <f t="shared" si="8"/>
        <v>0</v>
      </c>
      <c r="L27" s="192">
        <f t="shared" si="8"/>
        <v>0</v>
      </c>
      <c r="M27" s="192">
        <f t="shared" si="8"/>
        <v>0</v>
      </c>
      <c r="N27" s="192">
        <f t="shared" si="8"/>
        <v>0</v>
      </c>
      <c r="O27" s="192">
        <f t="shared" si="8"/>
        <v>0</v>
      </c>
      <c r="P27" s="192">
        <f t="shared" si="8"/>
        <v>0</v>
      </c>
      <c r="Q27" s="192">
        <f t="shared" si="8"/>
        <v>0</v>
      </c>
      <c r="R27" s="192">
        <f t="shared" si="8"/>
        <v>0</v>
      </c>
      <c r="S27" s="192">
        <f t="shared" si="8"/>
        <v>0</v>
      </c>
      <c r="T27" s="192">
        <f t="shared" si="8"/>
        <v>0</v>
      </c>
      <c r="U27" s="192">
        <f t="shared" si="8"/>
        <v>0</v>
      </c>
      <c r="V27" s="192">
        <f t="shared" si="8"/>
        <v>0</v>
      </c>
      <c r="W27" s="192">
        <f t="shared" si="8"/>
        <v>0</v>
      </c>
      <c r="X27" s="192">
        <f t="shared" si="8"/>
        <v>0</v>
      </c>
      <c r="Y27" s="192">
        <f t="shared" si="8"/>
        <v>0</v>
      </c>
      <c r="Z27" s="192">
        <f t="shared" si="8"/>
        <v>0</v>
      </c>
      <c r="AA27" s="192">
        <f t="shared" si="8"/>
        <v>0</v>
      </c>
      <c r="AB27" s="192">
        <f t="shared" si="8"/>
        <v>0</v>
      </c>
      <c r="AC27" s="192">
        <f t="shared" si="8"/>
        <v>0</v>
      </c>
      <c r="AD27" s="192">
        <f t="shared" si="8"/>
        <v>0</v>
      </c>
      <c r="AE27" s="192">
        <f t="shared" si="8"/>
        <v>0</v>
      </c>
      <c r="AF27" s="192">
        <f t="shared" si="8"/>
        <v>0</v>
      </c>
      <c r="AG27" s="192">
        <f t="shared" si="8"/>
        <v>0</v>
      </c>
      <c r="AH27" s="192">
        <f t="shared" si="8"/>
        <v>0</v>
      </c>
      <c r="AI27" s="192">
        <f t="shared" si="8"/>
        <v>0</v>
      </c>
      <c r="AJ27" s="192">
        <f t="shared" si="8"/>
        <v>0</v>
      </c>
      <c r="AK27" s="192">
        <f t="shared" si="8"/>
        <v>0</v>
      </c>
      <c r="AL27" s="192">
        <f t="shared" si="8"/>
        <v>0</v>
      </c>
      <c r="AM27" s="192">
        <f t="shared" si="8"/>
        <v>0</v>
      </c>
      <c r="AN27" s="192">
        <f t="shared" si="8"/>
        <v>0</v>
      </c>
      <c r="AO27" s="192">
        <f t="shared" si="8"/>
        <v>0</v>
      </c>
      <c r="AP27" s="192">
        <f t="shared" si="8"/>
        <v>0</v>
      </c>
      <c r="AQ27" s="192">
        <f t="shared" si="8"/>
        <v>0</v>
      </c>
      <c r="AR27" s="192">
        <f t="shared" si="8"/>
        <v>0</v>
      </c>
      <c r="AS27" s="192">
        <f t="shared" si="8"/>
        <v>0</v>
      </c>
      <c r="AT27" s="192">
        <f t="shared" si="8"/>
        <v>0</v>
      </c>
      <c r="AU27" s="192">
        <f t="shared" si="8"/>
        <v>0</v>
      </c>
      <c r="AV27" s="192">
        <f t="shared" si="8"/>
        <v>0</v>
      </c>
      <c r="AW27" s="192">
        <f t="shared" si="8"/>
        <v>0</v>
      </c>
      <c r="AX27" s="192">
        <f t="shared" si="8"/>
        <v>0</v>
      </c>
      <c r="AY27" s="192">
        <f t="shared" si="8"/>
        <v>0</v>
      </c>
      <c r="AZ27" s="192">
        <f t="shared" si="8"/>
        <v>0</v>
      </c>
      <c r="BA27" s="192">
        <f t="shared" si="8"/>
        <v>0</v>
      </c>
      <c r="BB27" s="192">
        <f t="shared" si="8"/>
        <v>0</v>
      </c>
      <c r="BC27" s="192">
        <f t="shared" si="8"/>
        <v>0</v>
      </c>
      <c r="BD27" s="192">
        <f t="shared" si="8"/>
        <v>0</v>
      </c>
      <c r="BE27" s="192">
        <f t="shared" si="8"/>
        <v>0</v>
      </c>
      <c r="BF27" s="192">
        <f t="shared" si="8"/>
        <v>0</v>
      </c>
      <c r="BG27" s="192">
        <f t="shared" si="8"/>
        <v>0</v>
      </c>
      <c r="BH27" s="192">
        <f t="shared" si="8"/>
        <v>0</v>
      </c>
      <c r="BI27" s="192">
        <f t="shared" si="8"/>
        <v>0</v>
      </c>
      <c r="BJ27" s="192">
        <f t="shared" si="8"/>
        <v>0</v>
      </c>
      <c r="BK27" s="192">
        <f t="shared" si="8"/>
        <v>0</v>
      </c>
      <c r="BL27" s="192">
        <f t="shared" si="8"/>
        <v>0</v>
      </c>
      <c r="BM27" s="192">
        <f t="shared" si="8"/>
        <v>0</v>
      </c>
      <c r="BN27" s="192">
        <f t="shared" si="8"/>
        <v>0</v>
      </c>
      <c r="BO27" s="192">
        <f t="shared" si="8"/>
        <v>0</v>
      </c>
      <c r="BP27" s="192">
        <f t="shared" si="8"/>
        <v>0</v>
      </c>
      <c r="BQ27" s="192">
        <f t="shared" si="8"/>
        <v>0</v>
      </c>
      <c r="BR27" s="192">
        <f t="shared" ref="BR27:DS27" si="9">IF(BR26&lt;=$F22,IF(BR26&gt;$F23,$F21/($F22-$F23),0),0)</f>
        <v>0</v>
      </c>
      <c r="BS27" s="192">
        <f t="shared" si="9"/>
        <v>0</v>
      </c>
      <c r="BT27" s="192">
        <f t="shared" si="9"/>
        <v>0</v>
      </c>
      <c r="BU27" s="192">
        <f t="shared" si="9"/>
        <v>0</v>
      </c>
      <c r="BV27" s="192">
        <f t="shared" si="9"/>
        <v>0</v>
      </c>
      <c r="BW27" s="192">
        <f t="shared" si="9"/>
        <v>0</v>
      </c>
      <c r="BX27" s="192">
        <f t="shared" si="9"/>
        <v>0</v>
      </c>
      <c r="BY27" s="192">
        <f t="shared" si="9"/>
        <v>0</v>
      </c>
      <c r="BZ27" s="192">
        <f t="shared" si="9"/>
        <v>0</v>
      </c>
      <c r="CA27" s="192">
        <f t="shared" si="9"/>
        <v>0</v>
      </c>
      <c r="CB27" s="192">
        <f t="shared" si="9"/>
        <v>0</v>
      </c>
      <c r="CC27" s="192">
        <f t="shared" si="9"/>
        <v>0</v>
      </c>
      <c r="CD27" s="192">
        <f t="shared" si="9"/>
        <v>0</v>
      </c>
      <c r="CE27" s="192">
        <f t="shared" si="9"/>
        <v>0</v>
      </c>
      <c r="CF27" s="192">
        <f t="shared" si="9"/>
        <v>0</v>
      </c>
      <c r="CG27" s="192">
        <f t="shared" si="9"/>
        <v>0</v>
      </c>
      <c r="CH27" s="192">
        <f t="shared" si="9"/>
        <v>0</v>
      </c>
      <c r="CI27" s="192">
        <f t="shared" si="9"/>
        <v>0</v>
      </c>
      <c r="CJ27" s="192">
        <f t="shared" si="9"/>
        <v>0</v>
      </c>
      <c r="CK27" s="192">
        <f t="shared" si="9"/>
        <v>0</v>
      </c>
      <c r="CL27" s="192">
        <f t="shared" si="9"/>
        <v>0</v>
      </c>
      <c r="CM27" s="192">
        <f t="shared" si="9"/>
        <v>0</v>
      </c>
      <c r="CN27" s="192">
        <f t="shared" si="9"/>
        <v>0</v>
      </c>
      <c r="CO27" s="192">
        <f t="shared" si="9"/>
        <v>0</v>
      </c>
      <c r="CP27" s="192">
        <f t="shared" si="9"/>
        <v>0</v>
      </c>
      <c r="CQ27" s="192">
        <f t="shared" si="9"/>
        <v>0</v>
      </c>
      <c r="CR27" s="192">
        <f t="shared" si="9"/>
        <v>0</v>
      </c>
      <c r="CS27" s="192">
        <f t="shared" si="9"/>
        <v>0</v>
      </c>
      <c r="CT27" s="192">
        <f t="shared" si="9"/>
        <v>0</v>
      </c>
      <c r="CU27" s="192">
        <f t="shared" si="9"/>
        <v>0</v>
      </c>
      <c r="CV27" s="192">
        <f t="shared" si="9"/>
        <v>0</v>
      </c>
      <c r="CW27" s="192">
        <f t="shared" si="9"/>
        <v>0</v>
      </c>
      <c r="CX27" s="192">
        <f t="shared" si="9"/>
        <v>0</v>
      </c>
      <c r="CY27" s="192">
        <f t="shared" si="9"/>
        <v>0</v>
      </c>
      <c r="CZ27" s="192">
        <f t="shared" si="9"/>
        <v>0</v>
      </c>
      <c r="DA27" s="192">
        <f t="shared" si="9"/>
        <v>0</v>
      </c>
      <c r="DB27" s="192">
        <f t="shared" si="9"/>
        <v>0</v>
      </c>
      <c r="DC27" s="192">
        <f t="shared" si="9"/>
        <v>0</v>
      </c>
      <c r="DD27" s="192">
        <f t="shared" si="9"/>
        <v>0</v>
      </c>
      <c r="DE27" s="192">
        <f t="shared" si="9"/>
        <v>0</v>
      </c>
      <c r="DF27" s="192">
        <f t="shared" si="9"/>
        <v>0</v>
      </c>
      <c r="DG27" s="192">
        <f t="shared" si="9"/>
        <v>0</v>
      </c>
      <c r="DH27" s="192">
        <f t="shared" si="9"/>
        <v>0</v>
      </c>
      <c r="DI27" s="192">
        <f t="shared" si="9"/>
        <v>0</v>
      </c>
      <c r="DJ27" s="192">
        <f t="shared" si="9"/>
        <v>0</v>
      </c>
      <c r="DK27" s="192">
        <f t="shared" si="9"/>
        <v>0</v>
      </c>
      <c r="DL27" s="192">
        <f t="shared" si="9"/>
        <v>0</v>
      </c>
      <c r="DM27" s="192">
        <f t="shared" si="9"/>
        <v>0</v>
      </c>
      <c r="DN27" s="192">
        <f t="shared" si="9"/>
        <v>0</v>
      </c>
      <c r="DO27" s="192">
        <f t="shared" si="9"/>
        <v>0</v>
      </c>
      <c r="DP27" s="192">
        <f t="shared" si="9"/>
        <v>0</v>
      </c>
      <c r="DQ27" s="192">
        <f t="shared" si="9"/>
        <v>0</v>
      </c>
      <c r="DR27" s="192">
        <f t="shared" si="9"/>
        <v>0</v>
      </c>
      <c r="DS27" s="192">
        <f t="shared" si="9"/>
        <v>0</v>
      </c>
    </row>
    <row r="28" spans="1:123" hidden="1" x14ac:dyDescent="0.2">
      <c r="A28" s="423" t="s">
        <v>361</v>
      </c>
      <c r="B28" s="424"/>
      <c r="C28" s="193"/>
      <c r="D28" s="194">
        <f>C29*$D$20/12</f>
        <v>0</v>
      </c>
      <c r="E28" s="194">
        <f t="shared" ref="E28:BP28" si="10">D29*$D$20/12</f>
        <v>0</v>
      </c>
      <c r="F28" s="194">
        <f t="shared" si="10"/>
        <v>0</v>
      </c>
      <c r="G28" s="194">
        <f t="shared" si="10"/>
        <v>0</v>
      </c>
      <c r="H28" s="194">
        <f t="shared" si="10"/>
        <v>0</v>
      </c>
      <c r="I28" s="194">
        <f t="shared" si="10"/>
        <v>0</v>
      </c>
      <c r="J28" s="194">
        <f t="shared" si="10"/>
        <v>0</v>
      </c>
      <c r="K28" s="194">
        <f t="shared" si="10"/>
        <v>0</v>
      </c>
      <c r="L28" s="194">
        <f t="shared" si="10"/>
        <v>0</v>
      </c>
      <c r="M28" s="194">
        <f t="shared" si="10"/>
        <v>0</v>
      </c>
      <c r="N28" s="194">
        <f t="shared" si="10"/>
        <v>0</v>
      </c>
      <c r="O28" s="194">
        <f t="shared" si="10"/>
        <v>0</v>
      </c>
      <c r="P28" s="194">
        <f t="shared" si="10"/>
        <v>0</v>
      </c>
      <c r="Q28" s="194">
        <f t="shared" si="10"/>
        <v>0</v>
      </c>
      <c r="R28" s="194">
        <f t="shared" si="10"/>
        <v>0</v>
      </c>
      <c r="S28" s="194">
        <f t="shared" si="10"/>
        <v>0</v>
      </c>
      <c r="T28" s="194">
        <f t="shared" si="10"/>
        <v>0</v>
      </c>
      <c r="U28" s="194">
        <f t="shared" si="10"/>
        <v>0</v>
      </c>
      <c r="V28" s="194">
        <f t="shared" si="10"/>
        <v>0</v>
      </c>
      <c r="W28" s="194">
        <f t="shared" si="10"/>
        <v>0</v>
      </c>
      <c r="X28" s="194">
        <f t="shared" si="10"/>
        <v>0</v>
      </c>
      <c r="Y28" s="194">
        <f t="shared" si="10"/>
        <v>0</v>
      </c>
      <c r="Z28" s="194">
        <f t="shared" si="10"/>
        <v>0</v>
      </c>
      <c r="AA28" s="194">
        <f t="shared" si="10"/>
        <v>0</v>
      </c>
      <c r="AB28" s="194">
        <f t="shared" si="10"/>
        <v>0</v>
      </c>
      <c r="AC28" s="194">
        <f t="shared" si="10"/>
        <v>0</v>
      </c>
      <c r="AD28" s="194">
        <f t="shared" si="10"/>
        <v>0</v>
      </c>
      <c r="AE28" s="194">
        <f t="shared" si="10"/>
        <v>0</v>
      </c>
      <c r="AF28" s="194">
        <f t="shared" si="10"/>
        <v>0</v>
      </c>
      <c r="AG28" s="194">
        <f t="shared" si="10"/>
        <v>0</v>
      </c>
      <c r="AH28" s="194">
        <f t="shared" si="10"/>
        <v>0</v>
      </c>
      <c r="AI28" s="194">
        <f t="shared" si="10"/>
        <v>0</v>
      </c>
      <c r="AJ28" s="194">
        <f t="shared" si="10"/>
        <v>0</v>
      </c>
      <c r="AK28" s="194">
        <f t="shared" si="10"/>
        <v>0</v>
      </c>
      <c r="AL28" s="194">
        <f t="shared" si="10"/>
        <v>0</v>
      </c>
      <c r="AM28" s="194">
        <f t="shared" si="10"/>
        <v>0</v>
      </c>
      <c r="AN28" s="194">
        <f t="shared" si="10"/>
        <v>0</v>
      </c>
      <c r="AO28" s="194">
        <f t="shared" si="10"/>
        <v>0</v>
      </c>
      <c r="AP28" s="194">
        <f t="shared" si="10"/>
        <v>0</v>
      </c>
      <c r="AQ28" s="194">
        <f t="shared" si="10"/>
        <v>0</v>
      </c>
      <c r="AR28" s="194">
        <f t="shared" si="10"/>
        <v>0</v>
      </c>
      <c r="AS28" s="194">
        <f t="shared" si="10"/>
        <v>0</v>
      </c>
      <c r="AT28" s="194">
        <f t="shared" si="10"/>
        <v>0</v>
      </c>
      <c r="AU28" s="194">
        <f t="shared" si="10"/>
        <v>0</v>
      </c>
      <c r="AV28" s="194">
        <f t="shared" si="10"/>
        <v>0</v>
      </c>
      <c r="AW28" s="194">
        <f t="shared" si="10"/>
        <v>0</v>
      </c>
      <c r="AX28" s="194">
        <f t="shared" si="10"/>
        <v>0</v>
      </c>
      <c r="AY28" s="194">
        <f t="shared" si="10"/>
        <v>0</v>
      </c>
      <c r="AZ28" s="194">
        <f t="shared" si="10"/>
        <v>0</v>
      </c>
      <c r="BA28" s="194">
        <f t="shared" si="10"/>
        <v>0</v>
      </c>
      <c r="BB28" s="194">
        <f t="shared" si="10"/>
        <v>0</v>
      </c>
      <c r="BC28" s="194">
        <f t="shared" si="10"/>
        <v>0</v>
      </c>
      <c r="BD28" s="194">
        <f t="shared" si="10"/>
        <v>0</v>
      </c>
      <c r="BE28" s="194">
        <f t="shared" si="10"/>
        <v>0</v>
      </c>
      <c r="BF28" s="194">
        <f t="shared" si="10"/>
        <v>0</v>
      </c>
      <c r="BG28" s="194">
        <f t="shared" si="10"/>
        <v>0</v>
      </c>
      <c r="BH28" s="194">
        <f t="shared" si="10"/>
        <v>0</v>
      </c>
      <c r="BI28" s="194">
        <f t="shared" si="10"/>
        <v>0</v>
      </c>
      <c r="BJ28" s="194">
        <f t="shared" si="10"/>
        <v>0</v>
      </c>
      <c r="BK28" s="194">
        <f t="shared" si="10"/>
        <v>0</v>
      </c>
      <c r="BL28" s="194">
        <f t="shared" si="10"/>
        <v>0</v>
      </c>
      <c r="BM28" s="194">
        <f t="shared" si="10"/>
        <v>0</v>
      </c>
      <c r="BN28" s="194">
        <f t="shared" si="10"/>
        <v>0</v>
      </c>
      <c r="BO28" s="194">
        <f t="shared" si="10"/>
        <v>0</v>
      </c>
      <c r="BP28" s="194">
        <f t="shared" si="10"/>
        <v>0</v>
      </c>
      <c r="BQ28" s="194">
        <f t="shared" ref="BQ28:DS28" si="11">BP29*$D$20/12</f>
        <v>0</v>
      </c>
      <c r="BR28" s="194">
        <f t="shared" si="11"/>
        <v>0</v>
      </c>
      <c r="BS28" s="194">
        <f t="shared" si="11"/>
        <v>0</v>
      </c>
      <c r="BT28" s="194">
        <f t="shared" si="11"/>
        <v>0</v>
      </c>
      <c r="BU28" s="194">
        <f t="shared" si="11"/>
        <v>0</v>
      </c>
      <c r="BV28" s="194">
        <f t="shared" si="11"/>
        <v>0</v>
      </c>
      <c r="BW28" s="194">
        <f t="shared" si="11"/>
        <v>0</v>
      </c>
      <c r="BX28" s="194">
        <f t="shared" si="11"/>
        <v>0</v>
      </c>
      <c r="BY28" s="194">
        <f t="shared" si="11"/>
        <v>0</v>
      </c>
      <c r="BZ28" s="194">
        <f t="shared" si="11"/>
        <v>0</v>
      </c>
      <c r="CA28" s="194">
        <f t="shared" si="11"/>
        <v>0</v>
      </c>
      <c r="CB28" s="194">
        <f t="shared" si="11"/>
        <v>0</v>
      </c>
      <c r="CC28" s="194">
        <f t="shared" si="11"/>
        <v>0</v>
      </c>
      <c r="CD28" s="194">
        <f t="shared" si="11"/>
        <v>0</v>
      </c>
      <c r="CE28" s="194">
        <f t="shared" si="11"/>
        <v>0</v>
      </c>
      <c r="CF28" s="194">
        <f t="shared" si="11"/>
        <v>0</v>
      </c>
      <c r="CG28" s="194">
        <f t="shared" si="11"/>
        <v>0</v>
      </c>
      <c r="CH28" s="194">
        <f t="shared" si="11"/>
        <v>0</v>
      </c>
      <c r="CI28" s="194">
        <f t="shared" si="11"/>
        <v>0</v>
      </c>
      <c r="CJ28" s="194">
        <f t="shared" si="11"/>
        <v>0</v>
      </c>
      <c r="CK28" s="194">
        <f t="shared" si="11"/>
        <v>0</v>
      </c>
      <c r="CL28" s="194">
        <f t="shared" si="11"/>
        <v>0</v>
      </c>
      <c r="CM28" s="194">
        <f t="shared" si="11"/>
        <v>0</v>
      </c>
      <c r="CN28" s="194">
        <f t="shared" si="11"/>
        <v>0</v>
      </c>
      <c r="CO28" s="194">
        <f t="shared" si="11"/>
        <v>0</v>
      </c>
      <c r="CP28" s="194">
        <f t="shared" si="11"/>
        <v>0</v>
      </c>
      <c r="CQ28" s="194">
        <f t="shared" si="11"/>
        <v>0</v>
      </c>
      <c r="CR28" s="194">
        <f t="shared" si="11"/>
        <v>0</v>
      </c>
      <c r="CS28" s="194">
        <f t="shared" si="11"/>
        <v>0</v>
      </c>
      <c r="CT28" s="194">
        <f t="shared" si="11"/>
        <v>0</v>
      </c>
      <c r="CU28" s="194">
        <f t="shared" si="11"/>
        <v>0</v>
      </c>
      <c r="CV28" s="194">
        <f t="shared" si="11"/>
        <v>0</v>
      </c>
      <c r="CW28" s="194">
        <f t="shared" si="11"/>
        <v>0</v>
      </c>
      <c r="CX28" s="194">
        <f t="shared" si="11"/>
        <v>0</v>
      </c>
      <c r="CY28" s="194">
        <f t="shared" si="11"/>
        <v>0</v>
      </c>
      <c r="CZ28" s="194">
        <f t="shared" si="11"/>
        <v>0</v>
      </c>
      <c r="DA28" s="194">
        <f t="shared" si="11"/>
        <v>0</v>
      </c>
      <c r="DB28" s="194">
        <f t="shared" si="11"/>
        <v>0</v>
      </c>
      <c r="DC28" s="194">
        <f t="shared" si="11"/>
        <v>0</v>
      </c>
      <c r="DD28" s="194">
        <f t="shared" si="11"/>
        <v>0</v>
      </c>
      <c r="DE28" s="194">
        <f t="shared" si="11"/>
        <v>0</v>
      </c>
      <c r="DF28" s="194">
        <f t="shared" si="11"/>
        <v>0</v>
      </c>
      <c r="DG28" s="194">
        <f t="shared" si="11"/>
        <v>0</v>
      </c>
      <c r="DH28" s="194">
        <f t="shared" si="11"/>
        <v>0</v>
      </c>
      <c r="DI28" s="194">
        <f t="shared" si="11"/>
        <v>0</v>
      </c>
      <c r="DJ28" s="194">
        <f t="shared" si="11"/>
        <v>0</v>
      </c>
      <c r="DK28" s="194">
        <f t="shared" si="11"/>
        <v>0</v>
      </c>
      <c r="DL28" s="194">
        <f t="shared" si="11"/>
        <v>0</v>
      </c>
      <c r="DM28" s="194">
        <f t="shared" si="11"/>
        <v>0</v>
      </c>
      <c r="DN28" s="194">
        <f t="shared" si="11"/>
        <v>0</v>
      </c>
      <c r="DO28" s="194">
        <f t="shared" si="11"/>
        <v>0</v>
      </c>
      <c r="DP28" s="194">
        <f t="shared" si="11"/>
        <v>0</v>
      </c>
      <c r="DQ28" s="194">
        <f t="shared" si="11"/>
        <v>0</v>
      </c>
      <c r="DR28" s="194">
        <f t="shared" si="11"/>
        <v>0</v>
      </c>
      <c r="DS28" s="194">
        <f t="shared" si="11"/>
        <v>0</v>
      </c>
    </row>
    <row r="29" spans="1:123" hidden="1" x14ac:dyDescent="0.2">
      <c r="A29" s="423" t="s">
        <v>362</v>
      </c>
      <c r="B29" s="424"/>
      <c r="C29" s="193">
        <f>F21</f>
        <v>0</v>
      </c>
      <c r="D29" s="193">
        <f>C29-D27</f>
        <v>0</v>
      </c>
      <c r="E29" s="193">
        <f t="shared" ref="E29:BP29" si="12">D29-E27</f>
        <v>0</v>
      </c>
      <c r="F29" s="193">
        <f t="shared" si="12"/>
        <v>0</v>
      </c>
      <c r="G29" s="193">
        <f t="shared" si="12"/>
        <v>0</v>
      </c>
      <c r="H29" s="193">
        <f t="shared" si="12"/>
        <v>0</v>
      </c>
      <c r="I29" s="193">
        <f t="shared" si="12"/>
        <v>0</v>
      </c>
      <c r="J29" s="193">
        <f t="shared" si="12"/>
        <v>0</v>
      </c>
      <c r="K29" s="193">
        <f t="shared" si="12"/>
        <v>0</v>
      </c>
      <c r="L29" s="193">
        <f t="shared" si="12"/>
        <v>0</v>
      </c>
      <c r="M29" s="193">
        <f t="shared" si="12"/>
        <v>0</v>
      </c>
      <c r="N29" s="193">
        <f t="shared" si="12"/>
        <v>0</v>
      </c>
      <c r="O29" s="193">
        <f t="shared" si="12"/>
        <v>0</v>
      </c>
      <c r="P29" s="193">
        <f t="shared" si="12"/>
        <v>0</v>
      </c>
      <c r="Q29" s="193">
        <f t="shared" si="12"/>
        <v>0</v>
      </c>
      <c r="R29" s="193">
        <f t="shared" si="12"/>
        <v>0</v>
      </c>
      <c r="S29" s="193">
        <f t="shared" si="12"/>
        <v>0</v>
      </c>
      <c r="T29" s="193">
        <f t="shared" si="12"/>
        <v>0</v>
      </c>
      <c r="U29" s="193">
        <f t="shared" si="12"/>
        <v>0</v>
      </c>
      <c r="V29" s="193">
        <f t="shared" si="12"/>
        <v>0</v>
      </c>
      <c r="W29" s="193">
        <f t="shared" si="12"/>
        <v>0</v>
      </c>
      <c r="X29" s="193">
        <f t="shared" si="12"/>
        <v>0</v>
      </c>
      <c r="Y29" s="193">
        <f t="shared" si="12"/>
        <v>0</v>
      </c>
      <c r="Z29" s="193">
        <f t="shared" si="12"/>
        <v>0</v>
      </c>
      <c r="AA29" s="193">
        <f t="shared" si="12"/>
        <v>0</v>
      </c>
      <c r="AB29" s="193">
        <f t="shared" si="12"/>
        <v>0</v>
      </c>
      <c r="AC29" s="193">
        <f t="shared" si="12"/>
        <v>0</v>
      </c>
      <c r="AD29" s="193">
        <f t="shared" si="12"/>
        <v>0</v>
      </c>
      <c r="AE29" s="193">
        <f t="shared" si="12"/>
        <v>0</v>
      </c>
      <c r="AF29" s="193">
        <f t="shared" si="12"/>
        <v>0</v>
      </c>
      <c r="AG29" s="193">
        <f t="shared" si="12"/>
        <v>0</v>
      </c>
      <c r="AH29" s="193">
        <f t="shared" si="12"/>
        <v>0</v>
      </c>
      <c r="AI29" s="193">
        <f t="shared" si="12"/>
        <v>0</v>
      </c>
      <c r="AJ29" s="193">
        <f t="shared" si="12"/>
        <v>0</v>
      </c>
      <c r="AK29" s="193">
        <f t="shared" si="12"/>
        <v>0</v>
      </c>
      <c r="AL29" s="193">
        <f t="shared" si="12"/>
        <v>0</v>
      </c>
      <c r="AM29" s="193">
        <f t="shared" si="12"/>
        <v>0</v>
      </c>
      <c r="AN29" s="193">
        <f t="shared" si="12"/>
        <v>0</v>
      </c>
      <c r="AO29" s="193">
        <f t="shared" si="12"/>
        <v>0</v>
      </c>
      <c r="AP29" s="193">
        <f t="shared" si="12"/>
        <v>0</v>
      </c>
      <c r="AQ29" s="193">
        <f t="shared" si="12"/>
        <v>0</v>
      </c>
      <c r="AR29" s="193">
        <f t="shared" si="12"/>
        <v>0</v>
      </c>
      <c r="AS29" s="193">
        <f t="shared" si="12"/>
        <v>0</v>
      </c>
      <c r="AT29" s="193">
        <f t="shared" si="12"/>
        <v>0</v>
      </c>
      <c r="AU29" s="193">
        <f t="shared" si="12"/>
        <v>0</v>
      </c>
      <c r="AV29" s="193">
        <f t="shared" si="12"/>
        <v>0</v>
      </c>
      <c r="AW29" s="193">
        <f t="shared" si="12"/>
        <v>0</v>
      </c>
      <c r="AX29" s="193">
        <f t="shared" si="12"/>
        <v>0</v>
      </c>
      <c r="AY29" s="193">
        <f t="shared" si="12"/>
        <v>0</v>
      </c>
      <c r="AZ29" s="193">
        <f t="shared" si="12"/>
        <v>0</v>
      </c>
      <c r="BA29" s="193">
        <f t="shared" si="12"/>
        <v>0</v>
      </c>
      <c r="BB29" s="193">
        <f t="shared" si="12"/>
        <v>0</v>
      </c>
      <c r="BC29" s="193">
        <f t="shared" si="12"/>
        <v>0</v>
      </c>
      <c r="BD29" s="193">
        <f t="shared" si="12"/>
        <v>0</v>
      </c>
      <c r="BE29" s="193">
        <f t="shared" si="12"/>
        <v>0</v>
      </c>
      <c r="BF29" s="193">
        <f t="shared" si="12"/>
        <v>0</v>
      </c>
      <c r="BG29" s="193">
        <f t="shared" si="12"/>
        <v>0</v>
      </c>
      <c r="BH29" s="193">
        <f t="shared" si="12"/>
        <v>0</v>
      </c>
      <c r="BI29" s="193">
        <f t="shared" si="12"/>
        <v>0</v>
      </c>
      <c r="BJ29" s="193">
        <f t="shared" si="12"/>
        <v>0</v>
      </c>
      <c r="BK29" s="193">
        <f t="shared" si="12"/>
        <v>0</v>
      </c>
      <c r="BL29" s="193">
        <f t="shared" si="12"/>
        <v>0</v>
      </c>
      <c r="BM29" s="193">
        <f t="shared" si="12"/>
        <v>0</v>
      </c>
      <c r="BN29" s="193">
        <f t="shared" si="12"/>
        <v>0</v>
      </c>
      <c r="BO29" s="193">
        <f t="shared" si="12"/>
        <v>0</v>
      </c>
      <c r="BP29" s="193">
        <f t="shared" si="12"/>
        <v>0</v>
      </c>
      <c r="BQ29" s="193">
        <f t="shared" ref="BQ29:DS29" si="13">BP29-BQ27</f>
        <v>0</v>
      </c>
      <c r="BR29" s="193">
        <f t="shared" si="13"/>
        <v>0</v>
      </c>
      <c r="BS29" s="193">
        <f t="shared" si="13"/>
        <v>0</v>
      </c>
      <c r="BT29" s="193">
        <f t="shared" si="13"/>
        <v>0</v>
      </c>
      <c r="BU29" s="193">
        <f t="shared" si="13"/>
        <v>0</v>
      </c>
      <c r="BV29" s="193">
        <f t="shared" si="13"/>
        <v>0</v>
      </c>
      <c r="BW29" s="193">
        <f t="shared" si="13"/>
        <v>0</v>
      </c>
      <c r="BX29" s="193">
        <f t="shared" si="13"/>
        <v>0</v>
      </c>
      <c r="BY29" s="193">
        <f t="shared" si="13"/>
        <v>0</v>
      </c>
      <c r="BZ29" s="193">
        <f t="shared" si="13"/>
        <v>0</v>
      </c>
      <c r="CA29" s="193">
        <f t="shared" si="13"/>
        <v>0</v>
      </c>
      <c r="CB29" s="193">
        <f t="shared" si="13"/>
        <v>0</v>
      </c>
      <c r="CC29" s="193">
        <f t="shared" si="13"/>
        <v>0</v>
      </c>
      <c r="CD29" s="193">
        <f t="shared" si="13"/>
        <v>0</v>
      </c>
      <c r="CE29" s="193">
        <f t="shared" si="13"/>
        <v>0</v>
      </c>
      <c r="CF29" s="193">
        <f t="shared" si="13"/>
        <v>0</v>
      </c>
      <c r="CG29" s="193">
        <f t="shared" si="13"/>
        <v>0</v>
      </c>
      <c r="CH29" s="193">
        <f t="shared" si="13"/>
        <v>0</v>
      </c>
      <c r="CI29" s="193">
        <f t="shared" si="13"/>
        <v>0</v>
      </c>
      <c r="CJ29" s="193">
        <f t="shared" si="13"/>
        <v>0</v>
      </c>
      <c r="CK29" s="193">
        <f t="shared" si="13"/>
        <v>0</v>
      </c>
      <c r="CL29" s="193">
        <f t="shared" si="13"/>
        <v>0</v>
      </c>
      <c r="CM29" s="193">
        <f t="shared" si="13"/>
        <v>0</v>
      </c>
      <c r="CN29" s="193">
        <f t="shared" si="13"/>
        <v>0</v>
      </c>
      <c r="CO29" s="193">
        <f t="shared" si="13"/>
        <v>0</v>
      </c>
      <c r="CP29" s="193">
        <f t="shared" si="13"/>
        <v>0</v>
      </c>
      <c r="CQ29" s="193">
        <f t="shared" si="13"/>
        <v>0</v>
      </c>
      <c r="CR29" s="193">
        <f t="shared" si="13"/>
        <v>0</v>
      </c>
      <c r="CS29" s="193">
        <f t="shared" si="13"/>
        <v>0</v>
      </c>
      <c r="CT29" s="193">
        <f t="shared" si="13"/>
        <v>0</v>
      </c>
      <c r="CU29" s="193">
        <f t="shared" si="13"/>
        <v>0</v>
      </c>
      <c r="CV29" s="193">
        <f t="shared" si="13"/>
        <v>0</v>
      </c>
      <c r="CW29" s="193">
        <f t="shared" si="13"/>
        <v>0</v>
      </c>
      <c r="CX29" s="193">
        <f t="shared" si="13"/>
        <v>0</v>
      </c>
      <c r="CY29" s="193">
        <f t="shared" si="13"/>
        <v>0</v>
      </c>
      <c r="CZ29" s="193">
        <f t="shared" si="13"/>
        <v>0</v>
      </c>
      <c r="DA29" s="193">
        <f t="shared" si="13"/>
        <v>0</v>
      </c>
      <c r="DB29" s="193">
        <f t="shared" si="13"/>
        <v>0</v>
      </c>
      <c r="DC29" s="193">
        <f t="shared" si="13"/>
        <v>0</v>
      </c>
      <c r="DD29" s="193">
        <f t="shared" si="13"/>
        <v>0</v>
      </c>
      <c r="DE29" s="193">
        <f t="shared" si="13"/>
        <v>0</v>
      </c>
      <c r="DF29" s="193">
        <f t="shared" si="13"/>
        <v>0</v>
      </c>
      <c r="DG29" s="193">
        <f t="shared" si="13"/>
        <v>0</v>
      </c>
      <c r="DH29" s="193">
        <f t="shared" si="13"/>
        <v>0</v>
      </c>
      <c r="DI29" s="193">
        <f t="shared" si="13"/>
        <v>0</v>
      </c>
      <c r="DJ29" s="193">
        <f t="shared" si="13"/>
        <v>0</v>
      </c>
      <c r="DK29" s="193">
        <f t="shared" si="13"/>
        <v>0</v>
      </c>
      <c r="DL29" s="193">
        <f t="shared" si="13"/>
        <v>0</v>
      </c>
      <c r="DM29" s="193">
        <f t="shared" si="13"/>
        <v>0</v>
      </c>
      <c r="DN29" s="193">
        <f t="shared" si="13"/>
        <v>0</v>
      </c>
      <c r="DO29" s="193">
        <f t="shared" si="13"/>
        <v>0</v>
      </c>
      <c r="DP29" s="193">
        <f t="shared" si="13"/>
        <v>0</v>
      </c>
      <c r="DQ29" s="193">
        <f t="shared" si="13"/>
        <v>0</v>
      </c>
      <c r="DR29" s="193">
        <f t="shared" si="13"/>
        <v>0</v>
      </c>
      <c r="DS29" s="193">
        <f t="shared" si="13"/>
        <v>0</v>
      </c>
    </row>
    <row r="30" spans="1:123" ht="12" hidden="1" thickBot="1" x14ac:dyDescent="0.25">
      <c r="A30" s="425" t="s">
        <v>368</v>
      </c>
      <c r="B30" s="426"/>
      <c r="C30" s="195"/>
      <c r="D30" s="195">
        <f>D27+D28</f>
        <v>0</v>
      </c>
      <c r="E30" s="195">
        <f t="shared" ref="E30:BP30" si="14">E27+E28</f>
        <v>0</v>
      </c>
      <c r="F30" s="195">
        <f t="shared" si="14"/>
        <v>0</v>
      </c>
      <c r="G30" s="195">
        <f t="shared" si="14"/>
        <v>0</v>
      </c>
      <c r="H30" s="195">
        <f t="shared" si="14"/>
        <v>0</v>
      </c>
      <c r="I30" s="195">
        <f t="shared" si="14"/>
        <v>0</v>
      </c>
      <c r="J30" s="195">
        <f t="shared" si="14"/>
        <v>0</v>
      </c>
      <c r="K30" s="195">
        <f t="shared" si="14"/>
        <v>0</v>
      </c>
      <c r="L30" s="195">
        <f t="shared" si="14"/>
        <v>0</v>
      </c>
      <c r="M30" s="195">
        <f t="shared" si="14"/>
        <v>0</v>
      </c>
      <c r="N30" s="195">
        <f t="shared" si="14"/>
        <v>0</v>
      </c>
      <c r="O30" s="195">
        <f t="shared" si="14"/>
        <v>0</v>
      </c>
      <c r="P30" s="195">
        <f t="shared" si="14"/>
        <v>0</v>
      </c>
      <c r="Q30" s="195">
        <f t="shared" si="14"/>
        <v>0</v>
      </c>
      <c r="R30" s="195">
        <f t="shared" si="14"/>
        <v>0</v>
      </c>
      <c r="S30" s="195">
        <f t="shared" si="14"/>
        <v>0</v>
      </c>
      <c r="T30" s="195">
        <f t="shared" si="14"/>
        <v>0</v>
      </c>
      <c r="U30" s="195">
        <f t="shared" si="14"/>
        <v>0</v>
      </c>
      <c r="V30" s="195">
        <f t="shared" si="14"/>
        <v>0</v>
      </c>
      <c r="W30" s="195">
        <f t="shared" si="14"/>
        <v>0</v>
      </c>
      <c r="X30" s="195">
        <f t="shared" si="14"/>
        <v>0</v>
      </c>
      <c r="Y30" s="195">
        <f t="shared" si="14"/>
        <v>0</v>
      </c>
      <c r="Z30" s="195">
        <f t="shared" si="14"/>
        <v>0</v>
      </c>
      <c r="AA30" s="195">
        <f t="shared" si="14"/>
        <v>0</v>
      </c>
      <c r="AB30" s="195">
        <f t="shared" si="14"/>
        <v>0</v>
      </c>
      <c r="AC30" s="195">
        <f t="shared" si="14"/>
        <v>0</v>
      </c>
      <c r="AD30" s="195">
        <f t="shared" si="14"/>
        <v>0</v>
      </c>
      <c r="AE30" s="195">
        <f t="shared" si="14"/>
        <v>0</v>
      </c>
      <c r="AF30" s="195">
        <f t="shared" si="14"/>
        <v>0</v>
      </c>
      <c r="AG30" s="195">
        <f t="shared" si="14"/>
        <v>0</v>
      </c>
      <c r="AH30" s="195">
        <f t="shared" si="14"/>
        <v>0</v>
      </c>
      <c r="AI30" s="195">
        <f t="shared" si="14"/>
        <v>0</v>
      </c>
      <c r="AJ30" s="195">
        <f t="shared" si="14"/>
        <v>0</v>
      </c>
      <c r="AK30" s="195">
        <f t="shared" si="14"/>
        <v>0</v>
      </c>
      <c r="AL30" s="195">
        <f t="shared" si="14"/>
        <v>0</v>
      </c>
      <c r="AM30" s="195">
        <f t="shared" si="14"/>
        <v>0</v>
      </c>
      <c r="AN30" s="195">
        <f t="shared" si="14"/>
        <v>0</v>
      </c>
      <c r="AO30" s="195">
        <f t="shared" si="14"/>
        <v>0</v>
      </c>
      <c r="AP30" s="195">
        <f t="shared" si="14"/>
        <v>0</v>
      </c>
      <c r="AQ30" s="195">
        <f t="shared" si="14"/>
        <v>0</v>
      </c>
      <c r="AR30" s="195">
        <f t="shared" si="14"/>
        <v>0</v>
      </c>
      <c r="AS30" s="195">
        <f t="shared" si="14"/>
        <v>0</v>
      </c>
      <c r="AT30" s="195">
        <f t="shared" si="14"/>
        <v>0</v>
      </c>
      <c r="AU30" s="195">
        <f t="shared" si="14"/>
        <v>0</v>
      </c>
      <c r="AV30" s="195">
        <f t="shared" si="14"/>
        <v>0</v>
      </c>
      <c r="AW30" s="195">
        <f t="shared" si="14"/>
        <v>0</v>
      </c>
      <c r="AX30" s="195">
        <f t="shared" si="14"/>
        <v>0</v>
      </c>
      <c r="AY30" s="195">
        <f t="shared" si="14"/>
        <v>0</v>
      </c>
      <c r="AZ30" s="195">
        <f t="shared" si="14"/>
        <v>0</v>
      </c>
      <c r="BA30" s="195">
        <f t="shared" si="14"/>
        <v>0</v>
      </c>
      <c r="BB30" s="195">
        <f t="shared" si="14"/>
        <v>0</v>
      </c>
      <c r="BC30" s="195">
        <f t="shared" si="14"/>
        <v>0</v>
      </c>
      <c r="BD30" s="195">
        <f t="shared" si="14"/>
        <v>0</v>
      </c>
      <c r="BE30" s="195">
        <f t="shared" si="14"/>
        <v>0</v>
      </c>
      <c r="BF30" s="195">
        <f t="shared" si="14"/>
        <v>0</v>
      </c>
      <c r="BG30" s="195">
        <f t="shared" si="14"/>
        <v>0</v>
      </c>
      <c r="BH30" s="195">
        <f t="shared" si="14"/>
        <v>0</v>
      </c>
      <c r="BI30" s="195">
        <f t="shared" si="14"/>
        <v>0</v>
      </c>
      <c r="BJ30" s="195">
        <f t="shared" si="14"/>
        <v>0</v>
      </c>
      <c r="BK30" s="195">
        <f t="shared" si="14"/>
        <v>0</v>
      </c>
      <c r="BL30" s="195">
        <f t="shared" si="14"/>
        <v>0</v>
      </c>
      <c r="BM30" s="195">
        <f t="shared" si="14"/>
        <v>0</v>
      </c>
      <c r="BN30" s="195">
        <f t="shared" si="14"/>
        <v>0</v>
      </c>
      <c r="BO30" s="195">
        <f t="shared" si="14"/>
        <v>0</v>
      </c>
      <c r="BP30" s="195">
        <f t="shared" si="14"/>
        <v>0</v>
      </c>
      <c r="BQ30" s="195">
        <f t="shared" ref="BQ30:DS30" si="15">BQ27+BQ28</f>
        <v>0</v>
      </c>
      <c r="BR30" s="195">
        <f t="shared" si="15"/>
        <v>0</v>
      </c>
      <c r="BS30" s="195">
        <f t="shared" si="15"/>
        <v>0</v>
      </c>
      <c r="BT30" s="195">
        <f t="shared" si="15"/>
        <v>0</v>
      </c>
      <c r="BU30" s="195">
        <f t="shared" si="15"/>
        <v>0</v>
      </c>
      <c r="BV30" s="195">
        <f t="shared" si="15"/>
        <v>0</v>
      </c>
      <c r="BW30" s="195">
        <f t="shared" si="15"/>
        <v>0</v>
      </c>
      <c r="BX30" s="195">
        <f t="shared" si="15"/>
        <v>0</v>
      </c>
      <c r="BY30" s="195">
        <f t="shared" si="15"/>
        <v>0</v>
      </c>
      <c r="BZ30" s="195">
        <f t="shared" si="15"/>
        <v>0</v>
      </c>
      <c r="CA30" s="195">
        <f t="shared" si="15"/>
        <v>0</v>
      </c>
      <c r="CB30" s="195">
        <f t="shared" si="15"/>
        <v>0</v>
      </c>
      <c r="CC30" s="195">
        <f t="shared" si="15"/>
        <v>0</v>
      </c>
      <c r="CD30" s="195">
        <f t="shared" si="15"/>
        <v>0</v>
      </c>
      <c r="CE30" s="195">
        <f t="shared" si="15"/>
        <v>0</v>
      </c>
      <c r="CF30" s="195">
        <f t="shared" si="15"/>
        <v>0</v>
      </c>
      <c r="CG30" s="195">
        <f t="shared" si="15"/>
        <v>0</v>
      </c>
      <c r="CH30" s="195">
        <f t="shared" si="15"/>
        <v>0</v>
      </c>
      <c r="CI30" s="195">
        <f t="shared" si="15"/>
        <v>0</v>
      </c>
      <c r="CJ30" s="195">
        <f t="shared" si="15"/>
        <v>0</v>
      </c>
      <c r="CK30" s="195">
        <f t="shared" si="15"/>
        <v>0</v>
      </c>
      <c r="CL30" s="195">
        <f t="shared" si="15"/>
        <v>0</v>
      </c>
      <c r="CM30" s="195">
        <f t="shared" si="15"/>
        <v>0</v>
      </c>
      <c r="CN30" s="195">
        <f t="shared" si="15"/>
        <v>0</v>
      </c>
      <c r="CO30" s="195">
        <f t="shared" si="15"/>
        <v>0</v>
      </c>
      <c r="CP30" s="195">
        <f t="shared" si="15"/>
        <v>0</v>
      </c>
      <c r="CQ30" s="195">
        <f t="shared" si="15"/>
        <v>0</v>
      </c>
      <c r="CR30" s="195">
        <f t="shared" si="15"/>
        <v>0</v>
      </c>
      <c r="CS30" s="195">
        <f t="shared" si="15"/>
        <v>0</v>
      </c>
      <c r="CT30" s="195">
        <f t="shared" si="15"/>
        <v>0</v>
      </c>
      <c r="CU30" s="195">
        <f t="shared" si="15"/>
        <v>0</v>
      </c>
      <c r="CV30" s="195">
        <f t="shared" si="15"/>
        <v>0</v>
      </c>
      <c r="CW30" s="195">
        <f t="shared" si="15"/>
        <v>0</v>
      </c>
      <c r="CX30" s="195">
        <f t="shared" si="15"/>
        <v>0</v>
      </c>
      <c r="CY30" s="195">
        <f t="shared" si="15"/>
        <v>0</v>
      </c>
      <c r="CZ30" s="195">
        <f t="shared" si="15"/>
        <v>0</v>
      </c>
      <c r="DA30" s="195">
        <f t="shared" si="15"/>
        <v>0</v>
      </c>
      <c r="DB30" s="195">
        <f t="shared" si="15"/>
        <v>0</v>
      </c>
      <c r="DC30" s="195">
        <f t="shared" si="15"/>
        <v>0</v>
      </c>
      <c r="DD30" s="195">
        <f t="shared" si="15"/>
        <v>0</v>
      </c>
      <c r="DE30" s="195">
        <f t="shared" si="15"/>
        <v>0</v>
      </c>
      <c r="DF30" s="195">
        <f t="shared" si="15"/>
        <v>0</v>
      </c>
      <c r="DG30" s="195">
        <f t="shared" si="15"/>
        <v>0</v>
      </c>
      <c r="DH30" s="195">
        <f t="shared" si="15"/>
        <v>0</v>
      </c>
      <c r="DI30" s="195">
        <f t="shared" si="15"/>
        <v>0</v>
      </c>
      <c r="DJ30" s="195">
        <f t="shared" si="15"/>
        <v>0</v>
      </c>
      <c r="DK30" s="195">
        <f t="shared" si="15"/>
        <v>0</v>
      </c>
      <c r="DL30" s="195">
        <f t="shared" si="15"/>
        <v>0</v>
      </c>
      <c r="DM30" s="195">
        <f t="shared" si="15"/>
        <v>0</v>
      </c>
      <c r="DN30" s="195">
        <f t="shared" si="15"/>
        <v>0</v>
      </c>
      <c r="DO30" s="195">
        <f t="shared" si="15"/>
        <v>0</v>
      </c>
      <c r="DP30" s="195">
        <f t="shared" si="15"/>
        <v>0</v>
      </c>
      <c r="DQ30" s="195">
        <f t="shared" si="15"/>
        <v>0</v>
      </c>
      <c r="DR30" s="195">
        <f t="shared" si="15"/>
        <v>0</v>
      </c>
      <c r="DS30" s="195">
        <f t="shared" si="15"/>
        <v>0</v>
      </c>
    </row>
    <row r="31" spans="1:123" hidden="1" x14ac:dyDescent="0.2">
      <c r="H31" s="196"/>
    </row>
    <row r="33" spans="2:55" x14ac:dyDescent="0.2">
      <c r="AZ33" s="196"/>
      <c r="BC33" s="196"/>
    </row>
    <row r="34" spans="2:55" hidden="1" x14ac:dyDescent="0.2"/>
    <row r="35" spans="2:55" hidden="1" x14ac:dyDescent="0.2">
      <c r="B35" s="178">
        <v>12</v>
      </c>
    </row>
    <row r="36" spans="2:55" hidden="1" x14ac:dyDescent="0.2">
      <c r="B36" s="178">
        <v>24</v>
      </c>
    </row>
    <row r="37" spans="2:55" hidden="1" x14ac:dyDescent="0.2">
      <c r="B37" s="178">
        <v>36</v>
      </c>
    </row>
    <row r="38" spans="2:55" hidden="1" x14ac:dyDescent="0.2"/>
    <row r="41" spans="2:55" hidden="1" x14ac:dyDescent="0.2"/>
    <row r="42" spans="2:55" hidden="1" x14ac:dyDescent="0.2"/>
    <row r="43" spans="2:55" hidden="1" x14ac:dyDescent="0.2"/>
    <row r="44" spans="2:55" hidden="1" x14ac:dyDescent="0.2"/>
    <row r="45" spans="2:55" hidden="1" x14ac:dyDescent="0.2"/>
    <row r="46" spans="2:55" hidden="1" x14ac:dyDescent="0.2"/>
    <row r="47" spans="2:55" hidden="1" x14ac:dyDescent="0.2"/>
    <row r="48" spans="2:55" hidden="1" x14ac:dyDescent="0.2"/>
    <row r="49" spans="1:6" hidden="1" x14ac:dyDescent="0.2"/>
    <row r="50" spans="1:6" hidden="1" x14ac:dyDescent="0.2"/>
    <row r="51" spans="1:6" hidden="1" x14ac:dyDescent="0.2"/>
    <row r="52" spans="1:6" hidden="1" x14ac:dyDescent="0.2"/>
    <row r="53" spans="1:6" hidden="1" x14ac:dyDescent="0.2"/>
    <row r="54" spans="1:6" hidden="1" x14ac:dyDescent="0.2"/>
    <row r="55" spans="1:6" hidden="1" x14ac:dyDescent="0.2"/>
    <row r="56" spans="1:6" hidden="1" x14ac:dyDescent="0.2"/>
    <row r="57" spans="1:6" ht="12" hidden="1" thickBot="1" x14ac:dyDescent="0.25"/>
    <row r="58" spans="1:6" s="182" customFormat="1" ht="12" hidden="1" thickBot="1" x14ac:dyDescent="0.25">
      <c r="A58" s="403" t="s">
        <v>353</v>
      </c>
      <c r="B58" s="404"/>
      <c r="C58" s="404"/>
      <c r="D58" s="404"/>
      <c r="E58" s="404"/>
      <c r="F58" s="405"/>
    </row>
    <row r="59" spans="1:6" ht="12.75" hidden="1" x14ac:dyDescent="0.2">
      <c r="A59" s="406" t="s">
        <v>354</v>
      </c>
      <c r="B59" s="407"/>
      <c r="C59" s="408"/>
      <c r="D59" s="409">
        <v>0.03</v>
      </c>
      <c r="E59" s="410"/>
      <c r="F59" s="183"/>
    </row>
    <row r="60" spans="1:6" ht="12.75" hidden="1" x14ac:dyDescent="0.2">
      <c r="A60" s="406" t="s">
        <v>355</v>
      </c>
      <c r="B60" s="407"/>
      <c r="C60" s="408"/>
      <c r="D60" s="184"/>
      <c r="E60" s="185">
        <f>+'Arranque del Negocio'!E9</f>
        <v>310261739.29178399</v>
      </c>
      <c r="F60" s="186">
        <f>D60+E60</f>
        <v>310261739.29178399</v>
      </c>
    </row>
    <row r="61" spans="1:6" ht="12.75" hidden="1" customHeight="1" x14ac:dyDescent="0.2">
      <c r="A61" s="406" t="s">
        <v>356</v>
      </c>
      <c r="B61" s="407"/>
      <c r="C61" s="408"/>
      <c r="D61" s="370">
        <v>60</v>
      </c>
      <c r="E61" s="371"/>
      <c r="F61" s="186">
        <f>D61</f>
        <v>60</v>
      </c>
    </row>
    <row r="62" spans="1:6" ht="13.5" hidden="1" customHeight="1" x14ac:dyDescent="0.2">
      <c r="A62" s="406" t="s">
        <v>357</v>
      </c>
      <c r="B62" s="407"/>
      <c r="C62" s="408"/>
      <c r="D62" s="370">
        <v>3</v>
      </c>
      <c r="E62" s="371"/>
      <c r="F62" s="186">
        <f>D62</f>
        <v>3</v>
      </c>
    </row>
    <row r="63" spans="1:6" ht="15.75" hidden="1" customHeight="1" thickBot="1" x14ac:dyDescent="0.25">
      <c r="A63" s="416" t="s">
        <v>358</v>
      </c>
      <c r="B63" s="417"/>
      <c r="C63" s="417"/>
      <c r="D63" s="417"/>
      <c r="E63" s="418"/>
      <c r="F63" s="187">
        <f>IF(ISERROR((PMT($D$6/12,F61-F62,-F60))),0,(PMT($D$6/12,F61-F62,-F60)))</f>
        <v>5847013.033557469</v>
      </c>
    </row>
    <row r="64" spans="1:6" ht="12" hidden="1" thickBot="1" x14ac:dyDescent="0.25">
      <c r="A64" s="188"/>
      <c r="B64" s="188"/>
      <c r="C64" s="188"/>
      <c r="D64" s="188"/>
      <c r="E64" s="188"/>
      <c r="F64" s="189"/>
    </row>
    <row r="65" spans="1:123" s="188" customFormat="1" ht="12" hidden="1" thickBot="1" x14ac:dyDescent="0.25">
      <c r="A65" s="419" t="s">
        <v>359</v>
      </c>
      <c r="B65" s="420"/>
      <c r="C65" s="190">
        <f>COUNTA(#REF!)-1</f>
        <v>0</v>
      </c>
      <c r="D65" s="190">
        <v>1</v>
      </c>
      <c r="E65" s="190">
        <v>2</v>
      </c>
      <c r="F65" s="190">
        <v>3</v>
      </c>
      <c r="G65" s="190">
        <v>4</v>
      </c>
      <c r="H65" s="190">
        <v>5</v>
      </c>
      <c r="I65" s="190">
        <v>6</v>
      </c>
      <c r="J65" s="190">
        <v>7</v>
      </c>
      <c r="K65" s="190">
        <v>8</v>
      </c>
      <c r="L65" s="190">
        <v>9</v>
      </c>
      <c r="M65" s="190">
        <v>10</v>
      </c>
      <c r="N65" s="190">
        <v>11</v>
      </c>
      <c r="O65" s="190">
        <v>12</v>
      </c>
      <c r="P65" s="190">
        <v>13</v>
      </c>
      <c r="Q65" s="190">
        <v>14</v>
      </c>
      <c r="R65" s="190">
        <v>15</v>
      </c>
      <c r="S65" s="190">
        <v>16</v>
      </c>
      <c r="T65" s="190">
        <v>17</v>
      </c>
      <c r="U65" s="190">
        <v>18</v>
      </c>
      <c r="V65" s="190">
        <v>19</v>
      </c>
      <c r="W65" s="190">
        <v>20</v>
      </c>
      <c r="X65" s="190">
        <v>21</v>
      </c>
      <c r="Y65" s="190">
        <v>22</v>
      </c>
      <c r="Z65" s="190">
        <v>23</v>
      </c>
      <c r="AA65" s="190">
        <v>24</v>
      </c>
      <c r="AB65" s="190">
        <v>25</v>
      </c>
      <c r="AC65" s="190">
        <v>26</v>
      </c>
      <c r="AD65" s="190">
        <v>27</v>
      </c>
      <c r="AE65" s="190">
        <v>28</v>
      </c>
      <c r="AF65" s="190">
        <v>29</v>
      </c>
      <c r="AG65" s="190">
        <v>30</v>
      </c>
      <c r="AH65" s="190">
        <v>31</v>
      </c>
      <c r="AI65" s="190">
        <v>32</v>
      </c>
      <c r="AJ65" s="190">
        <v>33</v>
      </c>
      <c r="AK65" s="190">
        <v>34</v>
      </c>
      <c r="AL65" s="190">
        <v>35</v>
      </c>
      <c r="AM65" s="190">
        <v>36</v>
      </c>
      <c r="AN65" s="190">
        <v>37</v>
      </c>
      <c r="AO65" s="190">
        <v>38</v>
      </c>
      <c r="AP65" s="190">
        <v>39</v>
      </c>
      <c r="AQ65" s="190">
        <v>40</v>
      </c>
      <c r="AR65" s="190">
        <v>41</v>
      </c>
      <c r="AS65" s="190">
        <v>42</v>
      </c>
      <c r="AT65" s="190">
        <v>43</v>
      </c>
      <c r="AU65" s="190">
        <v>44</v>
      </c>
      <c r="AV65" s="190">
        <v>45</v>
      </c>
      <c r="AW65" s="190">
        <v>46</v>
      </c>
      <c r="AX65" s="190">
        <v>47</v>
      </c>
      <c r="AY65" s="190">
        <v>48</v>
      </c>
      <c r="AZ65" s="190">
        <v>49</v>
      </c>
      <c r="BA65" s="190">
        <v>50</v>
      </c>
      <c r="BB65" s="190">
        <v>51</v>
      </c>
      <c r="BC65" s="190">
        <v>52</v>
      </c>
      <c r="BD65" s="190">
        <v>53</v>
      </c>
      <c r="BE65" s="190">
        <v>54</v>
      </c>
      <c r="BF65" s="190">
        <v>55</v>
      </c>
      <c r="BG65" s="190">
        <v>56</v>
      </c>
      <c r="BH65" s="190">
        <v>57</v>
      </c>
      <c r="BI65" s="190">
        <v>58</v>
      </c>
      <c r="BJ65" s="190">
        <v>59</v>
      </c>
      <c r="BK65" s="191">
        <v>60</v>
      </c>
      <c r="BL65" s="190">
        <v>61</v>
      </c>
      <c r="BM65" s="191">
        <v>62</v>
      </c>
      <c r="BN65" s="190">
        <v>63</v>
      </c>
      <c r="BO65" s="191">
        <v>64</v>
      </c>
      <c r="BP65" s="190">
        <v>65</v>
      </c>
      <c r="BQ65" s="191">
        <v>66</v>
      </c>
      <c r="BR65" s="190">
        <v>67</v>
      </c>
      <c r="BS65" s="191">
        <v>68</v>
      </c>
      <c r="BT65" s="190">
        <v>69</v>
      </c>
      <c r="BU65" s="191">
        <v>70</v>
      </c>
      <c r="BV65" s="190">
        <v>71</v>
      </c>
      <c r="BW65" s="191">
        <v>72</v>
      </c>
      <c r="BX65" s="190">
        <v>73</v>
      </c>
      <c r="BY65" s="191">
        <v>74</v>
      </c>
      <c r="BZ65" s="190">
        <v>75</v>
      </c>
      <c r="CA65" s="191">
        <v>76</v>
      </c>
      <c r="CB65" s="190">
        <v>77</v>
      </c>
      <c r="CC65" s="191">
        <v>78</v>
      </c>
      <c r="CD65" s="190">
        <v>79</v>
      </c>
      <c r="CE65" s="191">
        <v>80</v>
      </c>
      <c r="CF65" s="190">
        <v>81</v>
      </c>
      <c r="CG65" s="191">
        <v>82</v>
      </c>
      <c r="CH65" s="190">
        <v>83</v>
      </c>
      <c r="CI65" s="191">
        <v>84</v>
      </c>
      <c r="CJ65" s="190">
        <v>85</v>
      </c>
      <c r="CK65" s="191">
        <v>86</v>
      </c>
      <c r="CL65" s="190">
        <v>87</v>
      </c>
      <c r="CM65" s="191">
        <v>88</v>
      </c>
      <c r="CN65" s="190">
        <v>89</v>
      </c>
      <c r="CO65" s="191">
        <v>90</v>
      </c>
      <c r="CP65" s="190">
        <v>91</v>
      </c>
      <c r="CQ65" s="191">
        <v>92</v>
      </c>
      <c r="CR65" s="190">
        <v>93</v>
      </c>
      <c r="CS65" s="191">
        <v>94</v>
      </c>
      <c r="CT65" s="190">
        <v>95</v>
      </c>
      <c r="CU65" s="191">
        <v>96</v>
      </c>
      <c r="CV65" s="190">
        <v>97</v>
      </c>
      <c r="CW65" s="191">
        <v>98</v>
      </c>
      <c r="CX65" s="190">
        <v>99</v>
      </c>
      <c r="CY65" s="191">
        <v>100</v>
      </c>
      <c r="CZ65" s="190">
        <v>101</v>
      </c>
      <c r="DA65" s="191">
        <v>102</v>
      </c>
      <c r="DB65" s="190">
        <v>103</v>
      </c>
      <c r="DC65" s="191">
        <v>104</v>
      </c>
      <c r="DD65" s="190">
        <v>105</v>
      </c>
      <c r="DE65" s="191">
        <v>106</v>
      </c>
      <c r="DF65" s="190">
        <v>107</v>
      </c>
      <c r="DG65" s="191">
        <v>108</v>
      </c>
      <c r="DH65" s="190">
        <v>109</v>
      </c>
      <c r="DI65" s="191">
        <v>110</v>
      </c>
      <c r="DJ65" s="190">
        <v>111</v>
      </c>
      <c r="DK65" s="191">
        <v>112</v>
      </c>
      <c r="DL65" s="190">
        <v>113</v>
      </c>
      <c r="DM65" s="191">
        <v>114</v>
      </c>
      <c r="DN65" s="190">
        <v>115</v>
      </c>
      <c r="DO65" s="191">
        <v>116</v>
      </c>
      <c r="DP65" s="190">
        <v>117</v>
      </c>
      <c r="DQ65" s="191">
        <v>118</v>
      </c>
      <c r="DR65" s="190">
        <v>119</v>
      </c>
      <c r="DS65" s="191">
        <v>120</v>
      </c>
    </row>
    <row r="66" spans="1:123" hidden="1" x14ac:dyDescent="0.2">
      <c r="A66" s="421" t="s">
        <v>360</v>
      </c>
      <c r="B66" s="422"/>
      <c r="C66" s="192">
        <f>DH75</f>
        <v>0</v>
      </c>
      <c r="D66" s="192">
        <f>IF($F62-D65&gt;=0,0,D69-D67)</f>
        <v>0</v>
      </c>
      <c r="E66" s="192">
        <f>IF($F62-E65&gt;=0,0,E69-E67)</f>
        <v>0</v>
      </c>
      <c r="F66" s="192">
        <f t="shared" ref="F66:BQ66" si="16">IF($F62-F65&gt;=0,0,F69-F67)</f>
        <v>0</v>
      </c>
      <c r="G66" s="192">
        <f t="shared" si="16"/>
        <v>5071358.6853280086</v>
      </c>
      <c r="H66" s="192">
        <f t="shared" si="16"/>
        <v>5084037.0820413288</v>
      </c>
      <c r="I66" s="192">
        <f t="shared" si="16"/>
        <v>5096747.1747464323</v>
      </c>
      <c r="J66" s="192">
        <f t="shared" si="16"/>
        <v>5109489.0426832987</v>
      </c>
      <c r="K66" s="192">
        <f t="shared" si="16"/>
        <v>5122262.765290007</v>
      </c>
      <c r="L66" s="192">
        <f t="shared" si="16"/>
        <v>5135068.4222032316</v>
      </c>
      <c r="M66" s="192">
        <f t="shared" si="16"/>
        <v>5147906.0932587404</v>
      </c>
      <c r="N66" s="192">
        <f t="shared" si="16"/>
        <v>5160775.8584918864</v>
      </c>
      <c r="O66" s="192">
        <f t="shared" si="16"/>
        <v>5173677.7981381165</v>
      </c>
      <c r="P66" s="192">
        <f t="shared" si="16"/>
        <v>5186611.992633462</v>
      </c>
      <c r="Q66" s="192">
        <f t="shared" si="16"/>
        <v>5199578.5226150453</v>
      </c>
      <c r="R66" s="192">
        <f t="shared" si="16"/>
        <v>5212577.4689215831</v>
      </c>
      <c r="S66" s="192">
        <f t="shared" si="16"/>
        <v>5225608.9125938872</v>
      </c>
      <c r="T66" s="192">
        <f t="shared" si="16"/>
        <v>5238672.9348753719</v>
      </c>
      <c r="U66" s="192">
        <f t="shared" si="16"/>
        <v>5251769.61721256</v>
      </c>
      <c r="V66" s="192">
        <f t="shared" si="16"/>
        <v>5264899.0412555914</v>
      </c>
      <c r="W66" s="192">
        <f t="shared" si="16"/>
        <v>5278061.2888587303</v>
      </c>
      <c r="X66" s="192">
        <f t="shared" si="16"/>
        <v>5291256.4420808777</v>
      </c>
      <c r="Y66" s="192">
        <f t="shared" si="16"/>
        <v>5304484.5831860797</v>
      </c>
      <c r="Z66" s="192">
        <f t="shared" si="16"/>
        <v>5317745.7946440447</v>
      </c>
      <c r="AA66" s="192">
        <f t="shared" si="16"/>
        <v>5331040.1591306552</v>
      </c>
      <c r="AB66" s="192">
        <f t="shared" si="16"/>
        <v>5344367.7595284814</v>
      </c>
      <c r="AC66" s="192">
        <f t="shared" si="16"/>
        <v>5357728.6789273033</v>
      </c>
      <c r="AD66" s="192">
        <f t="shared" si="16"/>
        <v>5371123.0006246213</v>
      </c>
      <c r="AE66" s="192">
        <f t="shared" si="16"/>
        <v>5384550.8081261823</v>
      </c>
      <c r="AF66" s="192">
        <f t="shared" si="16"/>
        <v>5398012.1851464985</v>
      </c>
      <c r="AG66" s="192">
        <f t="shared" si="16"/>
        <v>5411507.2156093642</v>
      </c>
      <c r="AH66" s="192">
        <f t="shared" si="16"/>
        <v>5425035.9836483877</v>
      </c>
      <c r="AI66" s="192">
        <f t="shared" si="16"/>
        <v>5438598.573607509</v>
      </c>
      <c r="AJ66" s="192">
        <f t="shared" si="16"/>
        <v>5452195.070041528</v>
      </c>
      <c r="AK66" s="192">
        <f t="shared" si="16"/>
        <v>5465825.5577166313</v>
      </c>
      <c r="AL66" s="192">
        <f t="shared" si="16"/>
        <v>5479490.1216109227</v>
      </c>
      <c r="AM66" s="192">
        <f t="shared" si="16"/>
        <v>5493188.8469149508</v>
      </c>
      <c r="AN66" s="192">
        <f t="shared" si="16"/>
        <v>5506921.8190322379</v>
      </c>
      <c r="AO66" s="192">
        <f t="shared" si="16"/>
        <v>5520689.1235798188</v>
      </c>
      <c r="AP66" s="192">
        <f t="shared" si="16"/>
        <v>5534490.8463887675</v>
      </c>
      <c r="AQ66" s="192">
        <f t="shared" si="16"/>
        <v>5548327.0735047394</v>
      </c>
      <c r="AR66" s="192">
        <f t="shared" si="16"/>
        <v>5562197.8911885014</v>
      </c>
      <c r="AS66" s="192">
        <f t="shared" si="16"/>
        <v>5576103.3859164733</v>
      </c>
      <c r="AT66" s="192">
        <f t="shared" si="16"/>
        <v>5590043.6443812642</v>
      </c>
      <c r="AU66" s="192">
        <f t="shared" si="16"/>
        <v>5604018.7534922175</v>
      </c>
      <c r="AV66" s="192">
        <f t="shared" si="16"/>
        <v>5618028.8003759477</v>
      </c>
      <c r="AW66" s="192">
        <f t="shared" si="16"/>
        <v>5632073.8723768881</v>
      </c>
      <c r="AX66" s="192">
        <f t="shared" si="16"/>
        <v>5646154.0570578296</v>
      </c>
      <c r="AY66" s="192">
        <f t="shared" si="16"/>
        <v>5660269.4422004744</v>
      </c>
      <c r="AZ66" s="192">
        <f t="shared" si="16"/>
        <v>5674420.1158059761</v>
      </c>
      <c r="BA66" s="192">
        <f t="shared" si="16"/>
        <v>5688606.1660954906</v>
      </c>
      <c r="BB66" s="192">
        <f t="shared" si="16"/>
        <v>5702827.6815107297</v>
      </c>
      <c r="BC66" s="192">
        <f t="shared" si="16"/>
        <v>5717084.750714506</v>
      </c>
      <c r="BD66" s="192">
        <f t="shared" si="16"/>
        <v>5731377.4625912923</v>
      </c>
      <c r="BE66" s="192">
        <f t="shared" si="16"/>
        <v>5745705.9062477704</v>
      </c>
      <c r="BF66" s="192">
        <f t="shared" si="16"/>
        <v>5760070.1710133897</v>
      </c>
      <c r="BG66" s="192">
        <f t="shared" si="16"/>
        <v>5774470.3464409234</v>
      </c>
      <c r="BH66" s="192">
        <f t="shared" si="16"/>
        <v>5788906.5223070262</v>
      </c>
      <c r="BI66" s="192">
        <f t="shared" si="16"/>
        <v>5803378.7886127932</v>
      </c>
      <c r="BJ66" s="192">
        <f t="shared" si="16"/>
        <v>5817887.2355843252</v>
      </c>
      <c r="BK66" s="192">
        <f t="shared" si="16"/>
        <v>5832431.9536732864</v>
      </c>
      <c r="BL66" s="192">
        <f t="shared" si="16"/>
        <v>3.8417056202888492E-10</v>
      </c>
      <c r="BM66" s="192">
        <f t="shared" si="16"/>
        <v>0</v>
      </c>
      <c r="BN66" s="192">
        <f t="shared" si="16"/>
        <v>0</v>
      </c>
      <c r="BO66" s="192">
        <f t="shared" si="16"/>
        <v>0</v>
      </c>
      <c r="BP66" s="192">
        <f t="shared" si="16"/>
        <v>0</v>
      </c>
      <c r="BQ66" s="192">
        <f t="shared" si="16"/>
        <v>0</v>
      </c>
      <c r="BR66" s="192">
        <f t="shared" ref="BR66:DS66" si="17">IF($F62-BR65&gt;=0,0,BR69-BR67)</f>
        <v>0</v>
      </c>
      <c r="BS66" s="192">
        <f t="shared" si="17"/>
        <v>0</v>
      </c>
      <c r="BT66" s="192">
        <f t="shared" si="17"/>
        <v>0</v>
      </c>
      <c r="BU66" s="192">
        <f t="shared" si="17"/>
        <v>0</v>
      </c>
      <c r="BV66" s="192">
        <f t="shared" si="17"/>
        <v>0</v>
      </c>
      <c r="BW66" s="192">
        <f t="shared" si="17"/>
        <v>0</v>
      </c>
      <c r="BX66" s="192">
        <f t="shared" si="17"/>
        <v>0</v>
      </c>
      <c r="BY66" s="192">
        <f t="shared" si="17"/>
        <v>0</v>
      </c>
      <c r="BZ66" s="192">
        <f t="shared" si="17"/>
        <v>0</v>
      </c>
      <c r="CA66" s="192">
        <f t="shared" si="17"/>
        <v>0</v>
      </c>
      <c r="CB66" s="192">
        <f t="shared" si="17"/>
        <v>0</v>
      </c>
      <c r="CC66" s="192">
        <f t="shared" si="17"/>
        <v>0</v>
      </c>
      <c r="CD66" s="192">
        <f t="shared" si="17"/>
        <v>0</v>
      </c>
      <c r="CE66" s="192">
        <f t="shared" si="17"/>
        <v>0</v>
      </c>
      <c r="CF66" s="192">
        <f t="shared" si="17"/>
        <v>0</v>
      </c>
      <c r="CG66" s="192">
        <f t="shared" si="17"/>
        <v>0</v>
      </c>
      <c r="CH66" s="192">
        <f t="shared" si="17"/>
        <v>0</v>
      </c>
      <c r="CI66" s="192">
        <f t="shared" si="17"/>
        <v>0</v>
      </c>
      <c r="CJ66" s="192">
        <f t="shared" si="17"/>
        <v>0</v>
      </c>
      <c r="CK66" s="192">
        <f t="shared" si="17"/>
        <v>0</v>
      </c>
      <c r="CL66" s="192">
        <f t="shared" si="17"/>
        <v>0</v>
      </c>
      <c r="CM66" s="192">
        <f t="shared" si="17"/>
        <v>0</v>
      </c>
      <c r="CN66" s="192">
        <f t="shared" si="17"/>
        <v>0</v>
      </c>
      <c r="CO66" s="192">
        <f t="shared" si="17"/>
        <v>0</v>
      </c>
      <c r="CP66" s="192">
        <f t="shared" si="17"/>
        <v>0</v>
      </c>
      <c r="CQ66" s="192">
        <f t="shared" si="17"/>
        <v>0</v>
      </c>
      <c r="CR66" s="192">
        <f t="shared" si="17"/>
        <v>0</v>
      </c>
      <c r="CS66" s="192">
        <f t="shared" si="17"/>
        <v>0</v>
      </c>
      <c r="CT66" s="192">
        <f t="shared" si="17"/>
        <v>0</v>
      </c>
      <c r="CU66" s="192">
        <f t="shared" si="17"/>
        <v>0</v>
      </c>
      <c r="CV66" s="192">
        <f t="shared" si="17"/>
        <v>0</v>
      </c>
      <c r="CW66" s="192">
        <f t="shared" si="17"/>
        <v>0</v>
      </c>
      <c r="CX66" s="192">
        <f t="shared" si="17"/>
        <v>0</v>
      </c>
      <c r="CY66" s="192">
        <f t="shared" si="17"/>
        <v>0</v>
      </c>
      <c r="CZ66" s="192">
        <f t="shared" si="17"/>
        <v>0</v>
      </c>
      <c r="DA66" s="192">
        <f t="shared" si="17"/>
        <v>0</v>
      </c>
      <c r="DB66" s="192">
        <f t="shared" si="17"/>
        <v>0</v>
      </c>
      <c r="DC66" s="192">
        <f t="shared" si="17"/>
        <v>0</v>
      </c>
      <c r="DD66" s="192">
        <f t="shared" si="17"/>
        <v>0</v>
      </c>
      <c r="DE66" s="192">
        <f t="shared" si="17"/>
        <v>0</v>
      </c>
      <c r="DF66" s="192">
        <f t="shared" si="17"/>
        <v>0</v>
      </c>
      <c r="DG66" s="192">
        <f t="shared" si="17"/>
        <v>0</v>
      </c>
      <c r="DH66" s="192">
        <f t="shared" si="17"/>
        <v>0</v>
      </c>
      <c r="DI66" s="192">
        <f t="shared" si="17"/>
        <v>0</v>
      </c>
      <c r="DJ66" s="192">
        <f t="shared" si="17"/>
        <v>0</v>
      </c>
      <c r="DK66" s="192">
        <f t="shared" si="17"/>
        <v>0</v>
      </c>
      <c r="DL66" s="192">
        <f t="shared" si="17"/>
        <v>0</v>
      </c>
      <c r="DM66" s="192">
        <f t="shared" si="17"/>
        <v>0</v>
      </c>
      <c r="DN66" s="192">
        <f t="shared" si="17"/>
        <v>0</v>
      </c>
      <c r="DO66" s="192">
        <f t="shared" si="17"/>
        <v>0</v>
      </c>
      <c r="DP66" s="192">
        <f t="shared" si="17"/>
        <v>0</v>
      </c>
      <c r="DQ66" s="192">
        <f t="shared" si="17"/>
        <v>0</v>
      </c>
      <c r="DR66" s="192">
        <f t="shared" si="17"/>
        <v>0</v>
      </c>
      <c r="DS66" s="192">
        <f t="shared" si="17"/>
        <v>0</v>
      </c>
    </row>
    <row r="67" spans="1:123" hidden="1" x14ac:dyDescent="0.2">
      <c r="A67" s="423" t="s">
        <v>361</v>
      </c>
      <c r="B67" s="424"/>
      <c r="C67" s="193"/>
      <c r="D67" s="194">
        <f>C68*($D$6/12)</f>
        <v>775654.34822945995</v>
      </c>
      <c r="E67" s="194">
        <f t="shared" ref="E67" si="18">D68*($D$6/12)</f>
        <v>775654.34822945995</v>
      </c>
      <c r="F67" s="194">
        <f t="shared" ref="F67" si="19">E68*($D$6/12)</f>
        <v>775654.34822945995</v>
      </c>
      <c r="G67" s="194">
        <f t="shared" ref="G67" si="20">F68*($D$6/12)</f>
        <v>775654.34822945995</v>
      </c>
      <c r="H67" s="194">
        <f t="shared" ref="H67" si="21">G68*($D$6/12)</f>
        <v>762975.95151614002</v>
      </c>
      <c r="I67" s="194">
        <f t="shared" ref="I67" si="22">H68*($D$6/12)</f>
        <v>750265.85881103668</v>
      </c>
      <c r="J67" s="194">
        <f t="shared" ref="J67" si="23">I68*($D$6/12)</f>
        <v>737523.99087417056</v>
      </c>
      <c r="K67" s="194">
        <f t="shared" ref="K67" si="24">J68*($D$6/12)</f>
        <v>724750.26826746226</v>
      </c>
      <c r="L67" s="194">
        <f t="shared" ref="L67" si="25">K68*($D$6/12)</f>
        <v>711944.61135423719</v>
      </c>
      <c r="M67" s="194">
        <f t="shared" ref="M67" si="26">L68*($D$6/12)</f>
        <v>699106.94029872911</v>
      </c>
      <c r="N67" s="194">
        <f t="shared" ref="N67" si="27">M68*($D$6/12)</f>
        <v>686237.17506558227</v>
      </c>
      <c r="O67" s="194">
        <f t="shared" ref="O67" si="28">N68*($D$6/12)</f>
        <v>673335.23541935254</v>
      </c>
      <c r="P67" s="194">
        <f t="shared" ref="P67" si="29">O68*($D$6/12)</f>
        <v>660401.04092400719</v>
      </c>
      <c r="Q67" s="194">
        <f t="shared" ref="Q67" si="30">P68*($D$6/12)</f>
        <v>647434.5109424236</v>
      </c>
      <c r="R67" s="194">
        <f t="shared" ref="R67" si="31">Q68*($D$6/12)</f>
        <v>634435.564635886</v>
      </c>
      <c r="S67" s="194">
        <f t="shared" ref="S67" si="32">R68*($D$6/12)</f>
        <v>621404.12096358207</v>
      </c>
      <c r="T67" s="194">
        <f t="shared" ref="T67" si="33">S68*($D$6/12)</f>
        <v>608340.09868209728</v>
      </c>
      <c r="U67" s="194">
        <f t="shared" ref="U67" si="34">T68*($D$6/12)</f>
        <v>595243.41634490888</v>
      </c>
      <c r="V67" s="194">
        <f t="shared" ref="V67" si="35">U68*($D$6/12)</f>
        <v>582113.99230187747</v>
      </c>
      <c r="W67" s="194">
        <f t="shared" ref="W67" si="36">V68*($D$6/12)</f>
        <v>568951.74469873845</v>
      </c>
      <c r="X67" s="194">
        <f t="shared" ref="X67" si="37">W68*($D$6/12)</f>
        <v>555756.59147659165</v>
      </c>
      <c r="Y67" s="194">
        <f t="shared" ref="Y67" si="38">X68*($D$6/12)</f>
        <v>542528.45037138939</v>
      </c>
      <c r="Z67" s="194">
        <f t="shared" ref="Z67" si="39">Y68*($D$6/12)</f>
        <v>529267.2389134242</v>
      </c>
      <c r="AA67" s="194">
        <f t="shared" ref="AA67" si="40">Z68*($D$6/12)</f>
        <v>515972.87442681403</v>
      </c>
      <c r="AB67" s="194">
        <f t="shared" ref="AB67" si="41">AA68*($D$6/12)</f>
        <v>502645.27402898739</v>
      </c>
      <c r="AC67" s="194">
        <f t="shared" ref="AC67" si="42">AB68*($D$6/12)</f>
        <v>489284.35463016614</v>
      </c>
      <c r="AD67" s="194">
        <f t="shared" ref="AD67" si="43">AC68*($D$6/12)</f>
        <v>475890.03293284791</v>
      </c>
      <c r="AE67" s="194">
        <f t="shared" ref="AE67" si="44">AD68*($D$6/12)</f>
        <v>462462.22543128632</v>
      </c>
      <c r="AF67" s="194">
        <f t="shared" ref="AF67" si="45">AE68*($D$6/12)</f>
        <v>449000.84841097088</v>
      </c>
      <c r="AG67" s="194">
        <f t="shared" ref="AG67" si="46">AF68*($D$6/12)</f>
        <v>435505.81794810458</v>
      </c>
      <c r="AH67" s="194">
        <f t="shared" ref="AH67" si="47">AG68*($D$6/12)</f>
        <v>421977.04990908119</v>
      </c>
      <c r="AI67" s="194">
        <f t="shared" ref="AI67" si="48">AH68*($D$6/12)</f>
        <v>408414.45994996018</v>
      </c>
      <c r="AJ67" s="194">
        <f t="shared" ref="AJ67" si="49">AI68*($D$6/12)</f>
        <v>394817.96351594146</v>
      </c>
      <c r="AK67" s="194">
        <f t="shared" ref="AK67" si="50">AJ68*($D$6/12)</f>
        <v>381187.47584083758</v>
      </c>
      <c r="AL67" s="194">
        <f t="shared" ref="AL67" si="51">AK68*($D$6/12)</f>
        <v>367522.911946546</v>
      </c>
      <c r="AM67" s="194">
        <f t="shared" ref="AM67" si="52">AL68*($D$6/12)</f>
        <v>353824.18664251873</v>
      </c>
      <c r="AN67" s="194">
        <f t="shared" ref="AN67" si="53">AM68*($D$6/12)</f>
        <v>340091.21452523133</v>
      </c>
      <c r="AO67" s="194">
        <f t="shared" ref="AO67" si="54">AN68*($D$6/12)</f>
        <v>326323.90997765074</v>
      </c>
      <c r="AP67" s="194">
        <f t="shared" ref="AP67" si="55">AO68*($D$6/12)</f>
        <v>312522.1871687012</v>
      </c>
      <c r="AQ67" s="194">
        <f t="shared" ref="AQ67" si="56">AP68*($D$6/12)</f>
        <v>298685.96005272929</v>
      </c>
      <c r="AR67" s="194">
        <f t="shared" ref="AR67" si="57">AQ68*($D$6/12)</f>
        <v>284815.14236896741</v>
      </c>
      <c r="AS67" s="194">
        <f t="shared" ref="AS67" si="58">AR68*($D$6/12)</f>
        <v>270909.64764099615</v>
      </c>
      <c r="AT67" s="194">
        <f t="shared" ref="AT67" si="59">AS68*($D$6/12)</f>
        <v>256969.389176205</v>
      </c>
      <c r="AU67" s="194">
        <f t="shared" ref="AU67" si="60">AT68*($D$6/12)</f>
        <v>242994.28006525181</v>
      </c>
      <c r="AV67" s="194">
        <f t="shared" ref="AV67" si="61">AU68*($D$6/12)</f>
        <v>228984.23318152127</v>
      </c>
      <c r="AW67" s="194">
        <f t="shared" ref="AW67" si="62">AV68*($D$6/12)</f>
        <v>214939.16118058137</v>
      </c>
      <c r="AX67" s="194">
        <f t="shared" ref="AX67" si="63">AW68*($D$6/12)</f>
        <v>200858.97649963916</v>
      </c>
      <c r="AY67" s="194">
        <f t="shared" ref="AY67" si="64">AX68*($D$6/12)</f>
        <v>186743.59135699458</v>
      </c>
      <c r="AZ67" s="194">
        <f t="shared" ref="AZ67" si="65">AY68*($D$6/12)</f>
        <v>172592.91775149337</v>
      </c>
      <c r="BA67" s="194">
        <f t="shared" ref="BA67" si="66">AZ68*($D$6/12)</f>
        <v>158406.86746197843</v>
      </c>
      <c r="BB67" s="194">
        <f t="shared" ref="BB67" si="67">BA68*($D$6/12)</f>
        <v>144185.35204673972</v>
      </c>
      <c r="BC67" s="194">
        <f t="shared" ref="BC67" si="68">BB68*($D$6/12)</f>
        <v>129928.2828429629</v>
      </c>
      <c r="BD67" s="194">
        <f t="shared" ref="BD67" si="69">BC68*($D$6/12)</f>
        <v>115635.57096617663</v>
      </c>
      <c r="BE67" s="194">
        <f t="shared" ref="BE67" si="70">BD68*($D$6/12)</f>
        <v>101307.12730969841</v>
      </c>
      <c r="BF67" s="194">
        <f t="shared" ref="BF67" si="71">BE68*($D$6/12)</f>
        <v>86942.862544078976</v>
      </c>
      <c r="BG67" s="194">
        <f t="shared" ref="BG67" si="72">BF68*($D$6/12)</f>
        <v>72542.687116545509</v>
      </c>
      <c r="BH67" s="194">
        <f t="shared" ref="BH67" si="73">BG68*($D$6/12)</f>
        <v>58106.511250443196</v>
      </c>
      <c r="BI67" s="194">
        <f t="shared" ref="BI67" si="74">BH68*($D$6/12)</f>
        <v>43634.244944675629</v>
      </c>
      <c r="BJ67" s="194">
        <f t="shared" ref="BJ67" si="75">BI68*($D$6/12)</f>
        <v>29125.797973143646</v>
      </c>
      <c r="BK67" s="194">
        <f t="shared" ref="BK67" si="76">BJ68*($D$6/12)</f>
        <v>14581.079884182833</v>
      </c>
      <c r="BL67" s="194">
        <f t="shared" ref="BL67" si="77">BK68*($D$6/12)</f>
        <v>-3.8417056202888492E-10</v>
      </c>
      <c r="BM67" s="194">
        <f t="shared" ref="BM67" si="78">BL68*($D$6/12)</f>
        <v>0</v>
      </c>
      <c r="BN67" s="194">
        <f t="shared" ref="BN67" si="79">BM68*($D$6/12)</f>
        <v>0</v>
      </c>
      <c r="BO67" s="194">
        <f t="shared" ref="BO67" si="80">BN68*($D$6/12)</f>
        <v>0</v>
      </c>
      <c r="BP67" s="194">
        <f t="shared" ref="BP67" si="81">BO68*($D$6/12)</f>
        <v>0</v>
      </c>
      <c r="BQ67" s="194">
        <f t="shared" ref="BQ67" si="82">BP68*($D$6/12)</f>
        <v>0</v>
      </c>
      <c r="BR67" s="194">
        <f t="shared" ref="BR67" si="83">BQ68*($D$6/12)</f>
        <v>0</v>
      </c>
      <c r="BS67" s="194">
        <f t="shared" ref="BS67" si="84">BR68*($D$6/12)</f>
        <v>0</v>
      </c>
      <c r="BT67" s="194">
        <f t="shared" ref="BT67" si="85">BS68*($D$6/12)</f>
        <v>0</v>
      </c>
      <c r="BU67" s="194">
        <f t="shared" ref="BU67" si="86">BT68*($D$6/12)</f>
        <v>0</v>
      </c>
      <c r="BV67" s="194">
        <f t="shared" ref="BV67" si="87">BU68*($D$6/12)</f>
        <v>0</v>
      </c>
      <c r="BW67" s="194">
        <f t="shared" ref="BW67" si="88">BV68*($D$6/12)</f>
        <v>0</v>
      </c>
      <c r="BX67" s="194">
        <f t="shared" ref="BX67" si="89">BW68*($D$6/12)</f>
        <v>0</v>
      </c>
      <c r="BY67" s="194">
        <f t="shared" ref="BY67" si="90">BX68*($D$6/12)</f>
        <v>0</v>
      </c>
      <c r="BZ67" s="194">
        <f t="shared" ref="BZ67" si="91">BY68*($D$6/12)</f>
        <v>0</v>
      </c>
      <c r="CA67" s="194">
        <f t="shared" ref="CA67" si="92">BZ68*($D$6/12)</f>
        <v>0</v>
      </c>
      <c r="CB67" s="194">
        <f t="shared" ref="CB67" si="93">CA68*($D$6/12)</f>
        <v>0</v>
      </c>
      <c r="CC67" s="194">
        <f t="shared" ref="CC67" si="94">CB68*($D$6/12)</f>
        <v>0</v>
      </c>
      <c r="CD67" s="194">
        <f t="shared" ref="CD67" si="95">CC68*($D$6/12)</f>
        <v>0</v>
      </c>
      <c r="CE67" s="194">
        <f t="shared" ref="CE67" si="96">CD68*($D$6/12)</f>
        <v>0</v>
      </c>
      <c r="CF67" s="194">
        <f t="shared" ref="CF67" si="97">CE68*($D$6/12)</f>
        <v>0</v>
      </c>
      <c r="CG67" s="194">
        <f t="shared" ref="CG67" si="98">CF68*($D$6/12)</f>
        <v>0</v>
      </c>
      <c r="CH67" s="194">
        <f t="shared" ref="CH67" si="99">CG68*($D$6/12)</f>
        <v>0</v>
      </c>
      <c r="CI67" s="194">
        <f t="shared" ref="CI67" si="100">CH68*($D$6/12)</f>
        <v>0</v>
      </c>
      <c r="CJ67" s="194">
        <f t="shared" ref="CJ67" si="101">CI68*($D$6/12)</f>
        <v>0</v>
      </c>
      <c r="CK67" s="194">
        <f t="shared" ref="CK67" si="102">CJ68*($D$6/12)</f>
        <v>0</v>
      </c>
      <c r="CL67" s="194">
        <f t="shared" ref="CL67" si="103">CK68*($D$6/12)</f>
        <v>0</v>
      </c>
      <c r="CM67" s="194">
        <f t="shared" ref="CM67" si="104">CL68*($D$6/12)</f>
        <v>0</v>
      </c>
      <c r="CN67" s="194">
        <f t="shared" ref="CN67" si="105">CM68*($D$6/12)</f>
        <v>0</v>
      </c>
      <c r="CO67" s="194">
        <f t="shared" ref="CO67" si="106">CN68*($D$6/12)</f>
        <v>0</v>
      </c>
      <c r="CP67" s="194">
        <f t="shared" ref="CP67" si="107">CO68*($D$6/12)</f>
        <v>0</v>
      </c>
      <c r="CQ67" s="194">
        <f t="shared" ref="CQ67" si="108">CP68*($D$6/12)</f>
        <v>0</v>
      </c>
      <c r="CR67" s="194">
        <f t="shared" ref="CR67" si="109">CQ68*($D$6/12)</f>
        <v>0</v>
      </c>
      <c r="CS67" s="194">
        <f t="shared" ref="CS67" si="110">CR68*($D$6/12)</f>
        <v>0</v>
      </c>
      <c r="CT67" s="194">
        <f t="shared" ref="CT67" si="111">CS68*($D$6/12)</f>
        <v>0</v>
      </c>
      <c r="CU67" s="194">
        <f t="shared" ref="CU67" si="112">CT68*($D$6/12)</f>
        <v>0</v>
      </c>
      <c r="CV67" s="194">
        <f t="shared" ref="CV67" si="113">CU68*($D$6/12)</f>
        <v>0</v>
      </c>
      <c r="CW67" s="194">
        <f t="shared" ref="CW67" si="114">CV68*($D$6/12)</f>
        <v>0</v>
      </c>
      <c r="CX67" s="194">
        <f t="shared" ref="CX67" si="115">CW68*($D$6/12)</f>
        <v>0</v>
      </c>
      <c r="CY67" s="194">
        <f t="shared" ref="CY67" si="116">CX68*($D$6/12)</f>
        <v>0</v>
      </c>
      <c r="CZ67" s="194">
        <f t="shared" ref="CZ67" si="117">CY68*($D$6/12)</f>
        <v>0</v>
      </c>
      <c r="DA67" s="194">
        <f t="shared" ref="DA67" si="118">CZ68*($D$6/12)</f>
        <v>0</v>
      </c>
      <c r="DB67" s="194">
        <f t="shared" ref="DB67" si="119">DA68*($D$6/12)</f>
        <v>0</v>
      </c>
      <c r="DC67" s="194">
        <f t="shared" ref="DC67" si="120">DB68*($D$6/12)</f>
        <v>0</v>
      </c>
      <c r="DD67" s="194">
        <f t="shared" ref="DD67" si="121">DC68*($D$6/12)</f>
        <v>0</v>
      </c>
      <c r="DE67" s="194">
        <f t="shared" ref="DE67" si="122">DD68*($D$6/12)</f>
        <v>0</v>
      </c>
      <c r="DF67" s="194">
        <f t="shared" ref="DF67" si="123">DE68*($D$6/12)</f>
        <v>0</v>
      </c>
      <c r="DG67" s="194">
        <f t="shared" ref="DG67" si="124">DF68*($D$6/12)</f>
        <v>0</v>
      </c>
      <c r="DH67" s="194">
        <f t="shared" ref="DH67" si="125">DG68*($D$6/12)</f>
        <v>0</v>
      </c>
      <c r="DI67" s="194">
        <f t="shared" ref="DI67" si="126">DH68*($D$6/12)</f>
        <v>0</v>
      </c>
      <c r="DJ67" s="194">
        <f t="shared" ref="DJ67" si="127">DI68*($D$6/12)</f>
        <v>0</v>
      </c>
      <c r="DK67" s="194">
        <f t="shared" ref="DK67" si="128">DJ68*($D$6/12)</f>
        <v>0</v>
      </c>
      <c r="DL67" s="194">
        <f t="shared" ref="DL67" si="129">DK68*($D$6/12)</f>
        <v>0</v>
      </c>
      <c r="DM67" s="194">
        <f t="shared" ref="DM67" si="130">DL68*($D$6/12)</f>
        <v>0</v>
      </c>
      <c r="DN67" s="194">
        <f t="shared" ref="DN67" si="131">DM68*($D$6/12)</f>
        <v>0</v>
      </c>
      <c r="DO67" s="194">
        <f t="shared" ref="DO67" si="132">DN68*($D$6/12)</f>
        <v>0</v>
      </c>
      <c r="DP67" s="194">
        <f t="shared" ref="DP67" si="133">DO68*($D$6/12)</f>
        <v>0</v>
      </c>
      <c r="DQ67" s="194">
        <f t="shared" ref="DQ67" si="134">DP68*($D$6/12)</f>
        <v>0</v>
      </c>
      <c r="DR67" s="194">
        <f t="shared" ref="DR67" si="135">DQ68*($D$6/12)</f>
        <v>0</v>
      </c>
      <c r="DS67" s="194">
        <f t="shared" ref="DS67" si="136">DR68*($D$6/12)</f>
        <v>0</v>
      </c>
    </row>
    <row r="68" spans="1:123" hidden="1" x14ac:dyDescent="0.2">
      <c r="A68" s="423" t="s">
        <v>362</v>
      </c>
      <c r="B68" s="424"/>
      <c r="C68" s="193">
        <f>F60</f>
        <v>310261739.29178399</v>
      </c>
      <c r="D68" s="193">
        <f>IF(D65&lt;=$F61,+(C68-D66),0)</f>
        <v>310261739.29178399</v>
      </c>
      <c r="E68" s="193">
        <f>IF(E65&lt;=$F61,+(D68-E66),0)</f>
        <v>310261739.29178399</v>
      </c>
      <c r="F68" s="193">
        <f t="shared" ref="F68" si="137">IF(F65&lt;=$F61,+(E68-F66),0)</f>
        <v>310261739.29178399</v>
      </c>
      <c r="G68" s="193">
        <f t="shared" ref="G68" si="138">IF(G65&lt;=$F61,+(F68-G66),0)</f>
        <v>305190380.60645598</v>
      </c>
      <c r="H68" s="193">
        <f t="shared" ref="H68" si="139">IF(H65&lt;=$F61,+(G68-H66),0)</f>
        <v>300106343.52441466</v>
      </c>
      <c r="I68" s="193">
        <f t="shared" ref="I68" si="140">IF(I65&lt;=$F61,+(H68-I66),0)</f>
        <v>295009596.3496682</v>
      </c>
      <c r="J68" s="193">
        <f t="shared" ref="J68" si="141">IF(J65&lt;=$F61,+(I68-J66),0)</f>
        <v>289900107.3069849</v>
      </c>
      <c r="K68" s="193">
        <f t="shared" ref="K68" si="142">IF(K65&lt;=$F61,+(J68-K66),0)</f>
        <v>284777844.54169488</v>
      </c>
      <c r="L68" s="193">
        <f t="shared" ref="L68" si="143">IF(L65&lt;=$F61,+(K68-L66),0)</f>
        <v>279642776.11949164</v>
      </c>
      <c r="M68" s="193">
        <f t="shared" ref="M68" si="144">IF(M65&lt;=$F61,+(L68-M66),0)</f>
        <v>274494870.0262329</v>
      </c>
      <c r="N68" s="193">
        <f t="shared" ref="N68" si="145">IF(N65&lt;=$F61,+(M68-N66),0)</f>
        <v>269334094.167741</v>
      </c>
      <c r="O68" s="193">
        <f t="shared" ref="O68" si="146">IF(O65&lt;=$F61,+(N68-O66),0)</f>
        <v>264160416.36960289</v>
      </c>
      <c r="P68" s="193">
        <f t="shared" ref="P68" si="147">IF(P65&lt;=$F61,+(O68-P66),0)</f>
        <v>258973804.37696943</v>
      </c>
      <c r="Q68" s="193">
        <f t="shared" ref="Q68" si="148">IF(Q65&lt;=$F61,+(P68-Q66),0)</f>
        <v>253774225.85435438</v>
      </c>
      <c r="R68" s="193">
        <f t="shared" ref="R68" si="149">IF(R65&lt;=$F61,+(Q68-R66),0)</f>
        <v>248561648.38543281</v>
      </c>
      <c r="S68" s="193">
        <f t="shared" ref="S68" si="150">IF(S65&lt;=$F61,+(R68-S66),0)</f>
        <v>243336039.47283891</v>
      </c>
      <c r="T68" s="193">
        <f t="shared" ref="T68" si="151">IF(T65&lt;=$F61,+(S68-T66),0)</f>
        <v>238097366.53796354</v>
      </c>
      <c r="U68" s="193">
        <f t="shared" ref="U68" si="152">IF(U65&lt;=$F61,+(T68-U66),0)</f>
        <v>232845596.92075098</v>
      </c>
      <c r="V68" s="193">
        <f t="shared" ref="V68" si="153">IF(V65&lt;=$F61,+(U68-V66),0)</f>
        <v>227580697.87949538</v>
      </c>
      <c r="W68" s="193">
        <f t="shared" ref="W68" si="154">IF(W65&lt;=$F61,+(V68-W66),0)</f>
        <v>222302636.59063664</v>
      </c>
      <c r="X68" s="193">
        <f t="shared" ref="X68" si="155">IF(X65&lt;=$F61,+(W68-X66),0)</f>
        <v>217011380.14855576</v>
      </c>
      <c r="Y68" s="193">
        <f t="shared" ref="Y68" si="156">IF(Y65&lt;=$F61,+(X68-Y66),0)</f>
        <v>211706895.56536967</v>
      </c>
      <c r="Z68" s="193">
        <f t="shared" ref="Z68" si="157">IF(Z65&lt;=$F61,+(Y68-Z66),0)</f>
        <v>206389149.77072561</v>
      </c>
      <c r="AA68" s="193">
        <f t="shared" ref="AA68" si="158">IF(AA65&lt;=$F61,+(Z68-AA66),0)</f>
        <v>201058109.61159495</v>
      </c>
      <c r="AB68" s="193">
        <f t="shared" ref="AB68" si="159">IF(AB65&lt;=$F61,+(AA68-AB66),0)</f>
        <v>195713741.85206646</v>
      </c>
      <c r="AC68" s="193">
        <f t="shared" ref="AC68" si="160">IF(AC65&lt;=$F61,+(AB68-AC66),0)</f>
        <v>190356013.17313915</v>
      </c>
      <c r="AD68" s="193">
        <f t="shared" ref="AD68" si="161">IF(AD65&lt;=$F61,+(AC68-AD66),0)</f>
        <v>184984890.17251453</v>
      </c>
      <c r="AE68" s="193">
        <f t="shared" ref="AE68" si="162">IF(AE65&lt;=$F61,+(AD68-AE66),0)</f>
        <v>179600339.36438835</v>
      </c>
      <c r="AF68" s="193">
        <f t="shared" ref="AF68" si="163">IF(AF65&lt;=$F61,+(AE68-AF66),0)</f>
        <v>174202327.17924184</v>
      </c>
      <c r="AG68" s="193">
        <f t="shared" ref="AG68" si="164">IF(AG65&lt;=$F61,+(AF68-AG66),0)</f>
        <v>168790819.96363246</v>
      </c>
      <c r="AH68" s="193">
        <f t="shared" ref="AH68" si="165">IF(AH65&lt;=$F61,+(AG68-AH66),0)</f>
        <v>163365783.97998407</v>
      </c>
      <c r="AI68" s="193">
        <f t="shared" ref="AI68" si="166">IF(AI65&lt;=$F61,+(AH68-AI66),0)</f>
        <v>157927185.40637657</v>
      </c>
      <c r="AJ68" s="193">
        <f t="shared" ref="AJ68" si="167">IF(AJ65&lt;=$F61,+(AI68-AJ66),0)</f>
        <v>152474990.33633503</v>
      </c>
      <c r="AK68" s="193">
        <f t="shared" ref="AK68" si="168">IF(AK65&lt;=$F61,+(AJ68-AK66),0)</f>
        <v>147009164.7786184</v>
      </c>
      <c r="AL68" s="193">
        <f t="shared" ref="AL68" si="169">IF(AL65&lt;=$F61,+(AK68-AL66),0)</f>
        <v>141529674.65700749</v>
      </c>
      <c r="AM68" s="193">
        <f t="shared" ref="AM68" si="170">IF(AM65&lt;=$F61,+(AL68-AM66),0)</f>
        <v>136036485.81009254</v>
      </c>
      <c r="AN68" s="193">
        <f t="shared" ref="AN68" si="171">IF(AN65&lt;=$F61,+(AM68-AN66),0)</f>
        <v>130529563.9910603</v>
      </c>
      <c r="AO68" s="193">
        <f t="shared" ref="AO68" si="172">IF(AO65&lt;=$F61,+(AN68-AO66),0)</f>
        <v>125008874.86748049</v>
      </c>
      <c r="AP68" s="193">
        <f t="shared" ref="AP68" si="173">IF(AP65&lt;=$F61,+(AO68-AP66),0)</f>
        <v>119474384.02109171</v>
      </c>
      <c r="AQ68" s="193">
        <f t="shared" ref="AQ68" si="174">IF(AQ65&lt;=$F61,+(AP68-AQ66),0)</f>
        <v>113926056.94758697</v>
      </c>
      <c r="AR68" s="193">
        <f t="shared" ref="AR68" si="175">IF(AR65&lt;=$F61,+(AQ68-AR66),0)</f>
        <v>108363859.05639847</v>
      </c>
      <c r="AS68" s="193">
        <f t="shared" ref="AS68" si="176">IF(AS65&lt;=$F61,+(AR68-AS66),0)</f>
        <v>102787755.67048199</v>
      </c>
      <c r="AT68" s="193">
        <f t="shared" ref="AT68" si="177">IF(AT65&lt;=$F61,+(AS68-AT66),0)</f>
        <v>97197712.026100725</v>
      </c>
      <c r="AU68" s="193">
        <f t="shared" ref="AU68" si="178">IF(AU65&lt;=$F61,+(AT68-AU66),0)</f>
        <v>91593693.272608504</v>
      </c>
      <c r="AV68" s="193">
        <f t="shared" ref="AV68" si="179">IF(AV65&lt;=$F61,+(AU68-AV66),0)</f>
        <v>85975664.47223255</v>
      </c>
      <c r="AW68" s="193">
        <f t="shared" ref="AW68" si="180">IF(AW65&lt;=$F61,+(AV68-AW66),0)</f>
        <v>80343590.599855661</v>
      </c>
      <c r="AX68" s="193">
        <f t="shared" ref="AX68" si="181">IF(AX65&lt;=$F61,+(AW68-AX66),0)</f>
        <v>74697436.542797834</v>
      </c>
      <c r="AY68" s="193">
        <f t="shared" ref="AY68" si="182">IF(AY65&lt;=$F61,+(AX68-AY66),0)</f>
        <v>69037167.100597352</v>
      </c>
      <c r="AZ68" s="193">
        <f t="shared" ref="AZ68" si="183">IF(AZ65&lt;=$F61,+(AY68-AZ66),0)</f>
        <v>63362746.984791376</v>
      </c>
      <c r="BA68" s="193">
        <f t="shared" ref="BA68" si="184">IF(BA65&lt;=$F61,+(AZ68-BA66),0)</f>
        <v>57674140.818695888</v>
      </c>
      <c r="BB68" s="193">
        <f t="shared" ref="BB68" si="185">IF(BB65&lt;=$F61,+(BA68-BB66),0)</f>
        <v>51971313.137185156</v>
      </c>
      <c r="BC68" s="193">
        <f t="shared" ref="BC68" si="186">IF(BC65&lt;=$F61,+(BB68-BC66),0)</f>
        <v>46254228.386470653</v>
      </c>
      <c r="BD68" s="193">
        <f t="shared" ref="BD68" si="187">IF(BD65&lt;=$F61,+(BC68-BD66),0)</f>
        <v>40522850.923879363</v>
      </c>
      <c r="BE68" s="193">
        <f t="shared" ref="BE68" si="188">IF(BE65&lt;=$F61,+(BD68-BE66),0)</f>
        <v>34777145.01763159</v>
      </c>
      <c r="BF68" s="193">
        <f t="shared" ref="BF68" si="189">IF(BF65&lt;=$F61,+(BE68-BF66),0)</f>
        <v>29017074.846618202</v>
      </c>
      <c r="BG68" s="193">
        <f t="shared" ref="BG68" si="190">IF(BG65&lt;=$F61,+(BF68-BG66),0)</f>
        <v>23242604.500177279</v>
      </c>
      <c r="BH68" s="193">
        <f t="shared" ref="BH68" si="191">IF(BH65&lt;=$F61,+(BG68-BH66),0)</f>
        <v>17453697.977870252</v>
      </c>
      <c r="BI68" s="193">
        <f t="shared" ref="BI68" si="192">IF(BI65&lt;=$F61,+(BH68-BI66),0)</f>
        <v>11650319.189257458</v>
      </c>
      <c r="BJ68" s="193">
        <f t="shared" ref="BJ68" si="193">IF(BJ65&lt;=$F61,+(BI68-BJ66),0)</f>
        <v>5832431.9536731327</v>
      </c>
      <c r="BK68" s="193">
        <f t="shared" ref="BK68" si="194">IF(BK65&lt;=$F61,+(BJ68-BK66),0)</f>
        <v>-1.5366822481155396E-7</v>
      </c>
      <c r="BL68" s="193">
        <f t="shared" ref="BL68" si="195">IF(BL65&lt;=$F61,+(BK68-BL66),0)</f>
        <v>0</v>
      </c>
      <c r="BM68" s="193">
        <f t="shared" ref="BM68" si="196">IF(BM65&lt;=$F61,+(BL68-BM66),0)</f>
        <v>0</v>
      </c>
      <c r="BN68" s="193">
        <f t="shared" ref="BN68" si="197">IF(BN65&lt;=$F61,+(BM68-BN66),0)</f>
        <v>0</v>
      </c>
      <c r="BO68" s="193">
        <f t="shared" ref="BO68" si="198">IF(BO65&lt;=$F61,+(BN68-BO66),0)</f>
        <v>0</v>
      </c>
      <c r="BP68" s="193">
        <f t="shared" ref="BP68" si="199">IF(BP65&lt;=$F61,+(BO68-BP66),0)</f>
        <v>0</v>
      </c>
      <c r="BQ68" s="193">
        <f t="shared" ref="BQ68" si="200">IF(BQ65&lt;=$F61,+(BP68-BQ66),0)</f>
        <v>0</v>
      </c>
      <c r="BR68" s="193">
        <f t="shared" ref="BR68" si="201">IF(BR65&lt;=$F61,+(BQ68-BR66),0)</f>
        <v>0</v>
      </c>
      <c r="BS68" s="193">
        <f t="shared" ref="BS68" si="202">IF(BS65&lt;=$F61,+(BR68-BS66),0)</f>
        <v>0</v>
      </c>
      <c r="BT68" s="193">
        <f t="shared" ref="BT68" si="203">IF(BT65&lt;=$F61,+(BS68-BT66),0)</f>
        <v>0</v>
      </c>
      <c r="BU68" s="193">
        <f t="shared" ref="BU68" si="204">IF(BU65&lt;=$F61,+(BT68-BU66),0)</f>
        <v>0</v>
      </c>
      <c r="BV68" s="193">
        <f t="shared" ref="BV68" si="205">IF(BV65&lt;=$F61,+(BU68-BV66),0)</f>
        <v>0</v>
      </c>
      <c r="BW68" s="193">
        <f t="shared" ref="BW68" si="206">IF(BW65&lt;=$F61,+(BV68-BW66),0)</f>
        <v>0</v>
      </c>
      <c r="BX68" s="193">
        <f t="shared" ref="BX68" si="207">IF(BX65&lt;=$F61,+(BW68-BX66),0)</f>
        <v>0</v>
      </c>
      <c r="BY68" s="193">
        <f t="shared" ref="BY68" si="208">IF(BY65&lt;=$F61,+(BX68-BY66),0)</f>
        <v>0</v>
      </c>
      <c r="BZ68" s="193">
        <f t="shared" ref="BZ68" si="209">IF(BZ65&lt;=$F61,+(BY68-BZ66),0)</f>
        <v>0</v>
      </c>
      <c r="CA68" s="193">
        <f t="shared" ref="CA68" si="210">IF(CA65&lt;=$F61,+(BZ68-CA66),0)</f>
        <v>0</v>
      </c>
      <c r="CB68" s="193">
        <f t="shared" ref="CB68" si="211">IF(CB65&lt;=$F61,+(CA68-CB66),0)</f>
        <v>0</v>
      </c>
      <c r="CC68" s="193">
        <f t="shared" ref="CC68" si="212">IF(CC65&lt;=$F61,+(CB68-CC66),0)</f>
        <v>0</v>
      </c>
      <c r="CD68" s="193">
        <f t="shared" ref="CD68" si="213">IF(CD65&lt;=$F61,+(CC68-CD66),0)</f>
        <v>0</v>
      </c>
      <c r="CE68" s="193">
        <f t="shared" ref="CE68" si="214">IF(CE65&lt;=$F61,+(CD68-CE66),0)</f>
        <v>0</v>
      </c>
      <c r="CF68" s="193">
        <f t="shared" ref="CF68" si="215">IF(CF65&lt;=$F61,+(CE68-CF66),0)</f>
        <v>0</v>
      </c>
      <c r="CG68" s="193">
        <f t="shared" ref="CG68" si="216">IF(CG65&lt;=$F61,+(CF68-CG66),0)</f>
        <v>0</v>
      </c>
      <c r="CH68" s="193">
        <f t="shared" ref="CH68" si="217">IF(CH65&lt;=$F61,+(CG68-CH66),0)</f>
        <v>0</v>
      </c>
      <c r="CI68" s="193">
        <f t="shared" ref="CI68" si="218">IF(CI65&lt;=$F61,+(CH68-CI66),0)</f>
        <v>0</v>
      </c>
      <c r="CJ68" s="193">
        <f t="shared" ref="CJ68" si="219">IF(CJ65&lt;=$F61,+(CI68-CJ66),0)</f>
        <v>0</v>
      </c>
      <c r="CK68" s="193">
        <f t="shared" ref="CK68" si="220">IF(CK65&lt;=$F61,+(CJ68-CK66),0)</f>
        <v>0</v>
      </c>
      <c r="CL68" s="193">
        <f t="shared" ref="CL68" si="221">IF(CL65&lt;=$F61,+(CK68-CL66),0)</f>
        <v>0</v>
      </c>
      <c r="CM68" s="193">
        <f t="shared" ref="CM68" si="222">IF(CM65&lt;=$F61,+(CL68-CM66),0)</f>
        <v>0</v>
      </c>
      <c r="CN68" s="193">
        <f t="shared" ref="CN68" si="223">IF(CN65&lt;=$F61,+(CM68-CN66),0)</f>
        <v>0</v>
      </c>
      <c r="CO68" s="193">
        <f t="shared" ref="CO68" si="224">IF(CO65&lt;=$F61,+(CN68-CO66),0)</f>
        <v>0</v>
      </c>
      <c r="CP68" s="193">
        <f t="shared" ref="CP68" si="225">IF(CP65&lt;=$F61,+(CO68-CP66),0)</f>
        <v>0</v>
      </c>
      <c r="CQ68" s="193">
        <f t="shared" ref="CQ68" si="226">IF(CQ65&lt;=$F61,+(CP68-CQ66),0)</f>
        <v>0</v>
      </c>
      <c r="CR68" s="193">
        <f t="shared" ref="CR68" si="227">IF(CR65&lt;=$F61,+(CQ68-CR66),0)</f>
        <v>0</v>
      </c>
      <c r="CS68" s="193">
        <f t="shared" ref="CS68" si="228">IF(CS65&lt;=$F61,+(CR68-CS66),0)</f>
        <v>0</v>
      </c>
      <c r="CT68" s="193">
        <f t="shared" ref="CT68" si="229">IF(CT65&lt;=$F61,+(CS68-CT66),0)</f>
        <v>0</v>
      </c>
      <c r="CU68" s="193">
        <f t="shared" ref="CU68" si="230">IF(CU65&lt;=$F61,+(CT68-CU66),0)</f>
        <v>0</v>
      </c>
      <c r="CV68" s="193">
        <f t="shared" ref="CV68" si="231">IF(CV65&lt;=$F61,+(CU68-CV66),0)</f>
        <v>0</v>
      </c>
      <c r="CW68" s="193">
        <f t="shared" ref="CW68" si="232">IF(CW65&lt;=$F61,+(CV68-CW66),0)</f>
        <v>0</v>
      </c>
      <c r="CX68" s="193">
        <f t="shared" ref="CX68" si="233">IF(CX65&lt;=$F61,+(CW68-CX66),0)</f>
        <v>0</v>
      </c>
      <c r="CY68" s="193">
        <f t="shared" ref="CY68" si="234">IF(CY65&lt;=$F61,+(CX68-CY66),0)</f>
        <v>0</v>
      </c>
      <c r="CZ68" s="193">
        <f t="shared" ref="CZ68" si="235">IF(CZ65&lt;=$F61,+(CY68-CZ66),0)</f>
        <v>0</v>
      </c>
      <c r="DA68" s="193">
        <f t="shared" ref="DA68" si="236">IF(DA65&lt;=$F61,+(CZ68-DA66),0)</f>
        <v>0</v>
      </c>
      <c r="DB68" s="193">
        <f t="shared" ref="DB68" si="237">IF(DB65&lt;=$F61,+(DA68-DB66),0)</f>
        <v>0</v>
      </c>
      <c r="DC68" s="193">
        <f t="shared" ref="DC68" si="238">IF(DC65&lt;=$F61,+(DB68-DC66),0)</f>
        <v>0</v>
      </c>
      <c r="DD68" s="193">
        <f t="shared" ref="DD68" si="239">IF(DD65&lt;=$F61,+(DC68-DD66),0)</f>
        <v>0</v>
      </c>
      <c r="DE68" s="193">
        <f t="shared" ref="DE68" si="240">IF(DE65&lt;=$F61,+(DD68-DE66),0)</f>
        <v>0</v>
      </c>
      <c r="DF68" s="193">
        <f t="shared" ref="DF68" si="241">IF(DF65&lt;=$F61,+(DE68-DF66),0)</f>
        <v>0</v>
      </c>
      <c r="DG68" s="193">
        <f t="shared" ref="DG68" si="242">IF(DG65&lt;=$F61,+(DF68-DG66),0)</f>
        <v>0</v>
      </c>
      <c r="DH68" s="193">
        <f t="shared" ref="DH68" si="243">IF(DH65&lt;=$F61,+(DG68-DH66),0)</f>
        <v>0</v>
      </c>
      <c r="DI68" s="193">
        <f t="shared" ref="DI68" si="244">IF(DI65&lt;=$F61,+(DH68-DI66),0)</f>
        <v>0</v>
      </c>
      <c r="DJ68" s="193">
        <f t="shared" ref="DJ68" si="245">IF(DJ65&lt;=$F61,+(DI68-DJ66),0)</f>
        <v>0</v>
      </c>
      <c r="DK68" s="193">
        <f t="shared" ref="DK68" si="246">IF(DK65&lt;=$F61,+(DJ68-DK66),0)</f>
        <v>0</v>
      </c>
      <c r="DL68" s="193">
        <f t="shared" ref="DL68" si="247">IF(DL65&lt;=$F61,+(DK68-DL66),0)</f>
        <v>0</v>
      </c>
      <c r="DM68" s="193">
        <f t="shared" ref="DM68" si="248">IF(DM65&lt;=$F61,+(DL68-DM66),0)</f>
        <v>0</v>
      </c>
      <c r="DN68" s="193">
        <f t="shared" ref="DN68" si="249">IF(DN65&lt;=$F61,+(DM68-DN66),0)</f>
        <v>0</v>
      </c>
      <c r="DO68" s="193">
        <f t="shared" ref="DO68" si="250">IF(DO65&lt;=$F61,+(DN68-DO66),0)</f>
        <v>0</v>
      </c>
      <c r="DP68" s="193">
        <f t="shared" ref="DP68" si="251">IF(DP65&lt;=$F61,+(DO68-DP66),0)</f>
        <v>0</v>
      </c>
      <c r="DQ68" s="193">
        <f t="shared" ref="DQ68" si="252">IF(DQ65&lt;=$F61,+(DP68-DQ66),0)</f>
        <v>0</v>
      </c>
      <c r="DR68" s="193">
        <f t="shared" ref="DR68" si="253">IF(DR65&lt;=$F61,+(DQ68-DR66),0)</f>
        <v>0</v>
      </c>
      <c r="DS68" s="193">
        <f t="shared" ref="DS68" si="254">IF(DS65&lt;=$F61,+(DR68-DS66),0)</f>
        <v>0</v>
      </c>
    </row>
    <row r="69" spans="1:123" ht="12" hidden="1" thickBot="1" x14ac:dyDescent="0.25">
      <c r="A69" s="425" t="s">
        <v>363</v>
      </c>
      <c r="B69" s="426"/>
      <c r="C69" s="195"/>
      <c r="D69" s="195">
        <f>IF($F61&gt;=D65,IF($F62-D65&gt;=0,D67,$F63),0)</f>
        <v>775654.34822945995</v>
      </c>
      <c r="E69" s="195">
        <f t="shared" ref="E69:BP69" si="255">IF($F61&gt;=E65,IF($F62-E65&gt;=0,E67,$F63),0)</f>
        <v>775654.34822945995</v>
      </c>
      <c r="F69" s="195">
        <f t="shared" si="255"/>
        <v>775654.34822945995</v>
      </c>
      <c r="G69" s="195">
        <f t="shared" si="255"/>
        <v>5847013.033557469</v>
      </c>
      <c r="H69" s="195">
        <f t="shared" si="255"/>
        <v>5847013.033557469</v>
      </c>
      <c r="I69" s="195">
        <f t="shared" si="255"/>
        <v>5847013.033557469</v>
      </c>
      <c r="J69" s="195">
        <f t="shared" si="255"/>
        <v>5847013.033557469</v>
      </c>
      <c r="K69" s="195">
        <f t="shared" si="255"/>
        <v>5847013.033557469</v>
      </c>
      <c r="L69" s="195">
        <f t="shared" si="255"/>
        <v>5847013.033557469</v>
      </c>
      <c r="M69" s="195">
        <f t="shared" si="255"/>
        <v>5847013.033557469</v>
      </c>
      <c r="N69" s="195">
        <f t="shared" si="255"/>
        <v>5847013.033557469</v>
      </c>
      <c r="O69" s="195">
        <f t="shared" si="255"/>
        <v>5847013.033557469</v>
      </c>
      <c r="P69" s="195">
        <f t="shared" si="255"/>
        <v>5847013.033557469</v>
      </c>
      <c r="Q69" s="195">
        <f t="shared" si="255"/>
        <v>5847013.033557469</v>
      </c>
      <c r="R69" s="195">
        <f t="shared" si="255"/>
        <v>5847013.033557469</v>
      </c>
      <c r="S69" s="195">
        <f t="shared" si="255"/>
        <v>5847013.033557469</v>
      </c>
      <c r="T69" s="195">
        <f t="shared" si="255"/>
        <v>5847013.033557469</v>
      </c>
      <c r="U69" s="195">
        <f t="shared" si="255"/>
        <v>5847013.033557469</v>
      </c>
      <c r="V69" s="195">
        <f t="shared" si="255"/>
        <v>5847013.033557469</v>
      </c>
      <c r="W69" s="195">
        <f t="shared" si="255"/>
        <v>5847013.033557469</v>
      </c>
      <c r="X69" s="195">
        <f t="shared" si="255"/>
        <v>5847013.033557469</v>
      </c>
      <c r="Y69" s="195">
        <f t="shared" si="255"/>
        <v>5847013.033557469</v>
      </c>
      <c r="Z69" s="195">
        <f t="shared" si="255"/>
        <v>5847013.033557469</v>
      </c>
      <c r="AA69" s="195">
        <f t="shared" si="255"/>
        <v>5847013.033557469</v>
      </c>
      <c r="AB69" s="195">
        <f t="shared" si="255"/>
        <v>5847013.033557469</v>
      </c>
      <c r="AC69" s="195">
        <f t="shared" si="255"/>
        <v>5847013.033557469</v>
      </c>
      <c r="AD69" s="195">
        <f t="shared" si="255"/>
        <v>5847013.033557469</v>
      </c>
      <c r="AE69" s="195">
        <f t="shared" si="255"/>
        <v>5847013.033557469</v>
      </c>
      <c r="AF69" s="195">
        <f t="shared" si="255"/>
        <v>5847013.033557469</v>
      </c>
      <c r="AG69" s="195">
        <f t="shared" si="255"/>
        <v>5847013.033557469</v>
      </c>
      <c r="AH69" s="195">
        <f t="shared" si="255"/>
        <v>5847013.033557469</v>
      </c>
      <c r="AI69" s="195">
        <f t="shared" si="255"/>
        <v>5847013.033557469</v>
      </c>
      <c r="AJ69" s="195">
        <f t="shared" si="255"/>
        <v>5847013.033557469</v>
      </c>
      <c r="AK69" s="195">
        <f t="shared" si="255"/>
        <v>5847013.033557469</v>
      </c>
      <c r="AL69" s="195">
        <f t="shared" si="255"/>
        <v>5847013.033557469</v>
      </c>
      <c r="AM69" s="195">
        <f t="shared" si="255"/>
        <v>5847013.033557469</v>
      </c>
      <c r="AN69" s="195">
        <f t="shared" si="255"/>
        <v>5847013.033557469</v>
      </c>
      <c r="AO69" s="195">
        <f t="shared" si="255"/>
        <v>5847013.033557469</v>
      </c>
      <c r="AP69" s="195">
        <f t="shared" si="255"/>
        <v>5847013.033557469</v>
      </c>
      <c r="AQ69" s="195">
        <f t="shared" si="255"/>
        <v>5847013.033557469</v>
      </c>
      <c r="AR69" s="195">
        <f t="shared" si="255"/>
        <v>5847013.033557469</v>
      </c>
      <c r="AS69" s="195">
        <f t="shared" si="255"/>
        <v>5847013.033557469</v>
      </c>
      <c r="AT69" s="195">
        <f t="shared" si="255"/>
        <v>5847013.033557469</v>
      </c>
      <c r="AU69" s="195">
        <f t="shared" si="255"/>
        <v>5847013.033557469</v>
      </c>
      <c r="AV69" s="195">
        <f t="shared" si="255"/>
        <v>5847013.033557469</v>
      </c>
      <c r="AW69" s="195">
        <f t="shared" si="255"/>
        <v>5847013.033557469</v>
      </c>
      <c r="AX69" s="195">
        <f t="shared" si="255"/>
        <v>5847013.033557469</v>
      </c>
      <c r="AY69" s="195">
        <f t="shared" si="255"/>
        <v>5847013.033557469</v>
      </c>
      <c r="AZ69" s="195">
        <f t="shared" si="255"/>
        <v>5847013.033557469</v>
      </c>
      <c r="BA69" s="195">
        <f t="shared" si="255"/>
        <v>5847013.033557469</v>
      </c>
      <c r="BB69" s="195">
        <f t="shared" si="255"/>
        <v>5847013.033557469</v>
      </c>
      <c r="BC69" s="195">
        <f t="shared" si="255"/>
        <v>5847013.033557469</v>
      </c>
      <c r="BD69" s="195">
        <f t="shared" si="255"/>
        <v>5847013.033557469</v>
      </c>
      <c r="BE69" s="195">
        <f t="shared" si="255"/>
        <v>5847013.033557469</v>
      </c>
      <c r="BF69" s="195">
        <f t="shared" si="255"/>
        <v>5847013.033557469</v>
      </c>
      <c r="BG69" s="195">
        <f t="shared" si="255"/>
        <v>5847013.033557469</v>
      </c>
      <c r="BH69" s="195">
        <f t="shared" si="255"/>
        <v>5847013.033557469</v>
      </c>
      <c r="BI69" s="195">
        <f t="shared" si="255"/>
        <v>5847013.033557469</v>
      </c>
      <c r="BJ69" s="195">
        <f t="shared" si="255"/>
        <v>5847013.033557469</v>
      </c>
      <c r="BK69" s="195">
        <f t="shared" si="255"/>
        <v>5847013.033557469</v>
      </c>
      <c r="BL69" s="195">
        <f t="shared" si="255"/>
        <v>0</v>
      </c>
      <c r="BM69" s="195">
        <f t="shared" si="255"/>
        <v>0</v>
      </c>
      <c r="BN69" s="195">
        <f t="shared" si="255"/>
        <v>0</v>
      </c>
      <c r="BO69" s="195">
        <f t="shared" si="255"/>
        <v>0</v>
      </c>
      <c r="BP69" s="195">
        <f t="shared" si="255"/>
        <v>0</v>
      </c>
      <c r="BQ69" s="195">
        <f t="shared" ref="BQ69:DS69" si="256">IF($F61&gt;=BQ65,IF($F62-BQ65&gt;=0,BQ67,$F63),0)</f>
        <v>0</v>
      </c>
      <c r="BR69" s="195">
        <f t="shared" si="256"/>
        <v>0</v>
      </c>
      <c r="BS69" s="195">
        <f t="shared" si="256"/>
        <v>0</v>
      </c>
      <c r="BT69" s="195">
        <f t="shared" si="256"/>
        <v>0</v>
      </c>
      <c r="BU69" s="195">
        <f t="shared" si="256"/>
        <v>0</v>
      </c>
      <c r="BV69" s="195">
        <f t="shared" si="256"/>
        <v>0</v>
      </c>
      <c r="BW69" s="195">
        <f t="shared" si="256"/>
        <v>0</v>
      </c>
      <c r="BX69" s="195">
        <f t="shared" si="256"/>
        <v>0</v>
      </c>
      <c r="BY69" s="195">
        <f t="shared" si="256"/>
        <v>0</v>
      </c>
      <c r="BZ69" s="195">
        <f t="shared" si="256"/>
        <v>0</v>
      </c>
      <c r="CA69" s="195">
        <f t="shared" si="256"/>
        <v>0</v>
      </c>
      <c r="CB69" s="195">
        <f t="shared" si="256"/>
        <v>0</v>
      </c>
      <c r="CC69" s="195">
        <f t="shared" si="256"/>
        <v>0</v>
      </c>
      <c r="CD69" s="195">
        <f t="shared" si="256"/>
        <v>0</v>
      </c>
      <c r="CE69" s="195">
        <f t="shared" si="256"/>
        <v>0</v>
      </c>
      <c r="CF69" s="195">
        <f t="shared" si="256"/>
        <v>0</v>
      </c>
      <c r="CG69" s="195">
        <f t="shared" si="256"/>
        <v>0</v>
      </c>
      <c r="CH69" s="195">
        <f t="shared" si="256"/>
        <v>0</v>
      </c>
      <c r="CI69" s="195">
        <f t="shared" si="256"/>
        <v>0</v>
      </c>
      <c r="CJ69" s="195">
        <f t="shared" si="256"/>
        <v>0</v>
      </c>
      <c r="CK69" s="195">
        <f t="shared" si="256"/>
        <v>0</v>
      </c>
      <c r="CL69" s="195">
        <f t="shared" si="256"/>
        <v>0</v>
      </c>
      <c r="CM69" s="195">
        <f t="shared" si="256"/>
        <v>0</v>
      </c>
      <c r="CN69" s="195">
        <f t="shared" si="256"/>
        <v>0</v>
      </c>
      <c r="CO69" s="195">
        <f t="shared" si="256"/>
        <v>0</v>
      </c>
      <c r="CP69" s="195">
        <f t="shared" si="256"/>
        <v>0</v>
      </c>
      <c r="CQ69" s="195">
        <f t="shared" si="256"/>
        <v>0</v>
      </c>
      <c r="CR69" s="195">
        <f t="shared" si="256"/>
        <v>0</v>
      </c>
      <c r="CS69" s="195">
        <f t="shared" si="256"/>
        <v>0</v>
      </c>
      <c r="CT69" s="195">
        <f t="shared" si="256"/>
        <v>0</v>
      </c>
      <c r="CU69" s="195">
        <f t="shared" si="256"/>
        <v>0</v>
      </c>
      <c r="CV69" s="195">
        <f t="shared" si="256"/>
        <v>0</v>
      </c>
      <c r="CW69" s="195">
        <f t="shared" si="256"/>
        <v>0</v>
      </c>
      <c r="CX69" s="195">
        <f t="shared" si="256"/>
        <v>0</v>
      </c>
      <c r="CY69" s="195">
        <f t="shared" si="256"/>
        <v>0</v>
      </c>
      <c r="CZ69" s="195">
        <f t="shared" si="256"/>
        <v>0</v>
      </c>
      <c r="DA69" s="195">
        <f t="shared" si="256"/>
        <v>0</v>
      </c>
      <c r="DB69" s="195">
        <f t="shared" si="256"/>
        <v>0</v>
      </c>
      <c r="DC69" s="195">
        <f t="shared" si="256"/>
        <v>0</v>
      </c>
      <c r="DD69" s="195">
        <f t="shared" si="256"/>
        <v>0</v>
      </c>
      <c r="DE69" s="195">
        <f t="shared" si="256"/>
        <v>0</v>
      </c>
      <c r="DF69" s="195">
        <f t="shared" si="256"/>
        <v>0</v>
      </c>
      <c r="DG69" s="195">
        <f t="shared" si="256"/>
        <v>0</v>
      </c>
      <c r="DH69" s="195">
        <f t="shared" si="256"/>
        <v>0</v>
      </c>
      <c r="DI69" s="195">
        <f t="shared" si="256"/>
        <v>0</v>
      </c>
      <c r="DJ69" s="195">
        <f t="shared" si="256"/>
        <v>0</v>
      </c>
      <c r="DK69" s="195">
        <f t="shared" si="256"/>
        <v>0</v>
      </c>
      <c r="DL69" s="195">
        <f t="shared" si="256"/>
        <v>0</v>
      </c>
      <c r="DM69" s="195">
        <f t="shared" si="256"/>
        <v>0</v>
      </c>
      <c r="DN69" s="195">
        <f t="shared" si="256"/>
        <v>0</v>
      </c>
      <c r="DO69" s="195">
        <f t="shared" si="256"/>
        <v>0</v>
      </c>
      <c r="DP69" s="195">
        <f t="shared" si="256"/>
        <v>0</v>
      </c>
      <c r="DQ69" s="195">
        <f t="shared" si="256"/>
        <v>0</v>
      </c>
      <c r="DR69" s="195">
        <f t="shared" si="256"/>
        <v>0</v>
      </c>
      <c r="DS69" s="195">
        <f t="shared" si="256"/>
        <v>0</v>
      </c>
    </row>
    <row r="70" spans="1:123" hidden="1" x14ac:dyDescent="0.2"/>
    <row r="71" spans="1:123" hidden="1" x14ac:dyDescent="0.2">
      <c r="B71" s="220" t="s">
        <v>396</v>
      </c>
      <c r="C71" s="196">
        <f>+SUM(D69:O69)</f>
        <v>54950080.346705593</v>
      </c>
    </row>
    <row r="72" spans="1:123" hidden="1" x14ac:dyDescent="0.2">
      <c r="B72" s="220" t="s">
        <v>397</v>
      </c>
      <c r="C72" s="196">
        <f>+SUM(P69:AA69)</f>
        <v>70164156.402689621</v>
      </c>
    </row>
    <row r="73" spans="1:123" hidden="1" x14ac:dyDescent="0.2">
      <c r="B73" s="220" t="s">
        <v>398</v>
      </c>
      <c r="C73" s="196">
        <f>+C72</f>
        <v>70164156.402689621</v>
      </c>
    </row>
    <row r="74" spans="1:123" hidden="1" x14ac:dyDescent="0.2">
      <c r="B74" s="220" t="s">
        <v>399</v>
      </c>
      <c r="C74" s="196">
        <f>+C73</f>
        <v>70164156.402689621</v>
      </c>
    </row>
    <row r="75" spans="1:123" hidden="1" x14ac:dyDescent="0.2">
      <c r="B75" s="220" t="s">
        <v>400</v>
      </c>
      <c r="C75" s="196">
        <f>+C74</f>
        <v>70164156.402689621</v>
      </c>
    </row>
    <row r="76" spans="1:123" hidden="1" x14ac:dyDescent="0.2"/>
    <row r="77" spans="1:123" hidden="1" x14ac:dyDescent="0.2"/>
    <row r="78" spans="1:123" hidden="1" x14ac:dyDescent="0.2"/>
    <row r="79" spans="1:123" hidden="1" x14ac:dyDescent="0.2"/>
    <row r="80" spans="1:123" hidden="1" x14ac:dyDescent="0.2"/>
    <row r="81" hidden="1" x14ac:dyDescent="0.2"/>
    <row r="82" hidden="1" x14ac:dyDescent="0.2"/>
    <row r="83" hidden="1" x14ac:dyDescent="0.2"/>
    <row r="84" hidden="1" x14ac:dyDescent="0.2"/>
    <row r="85" hidden="1" x14ac:dyDescent="0.2"/>
    <row r="86" hidden="1" x14ac:dyDescent="0.2"/>
    <row r="87" hidden="1" x14ac:dyDescent="0.2"/>
    <row r="88" hidden="1" x14ac:dyDescent="0.2"/>
    <row r="89" hidden="1" x14ac:dyDescent="0.2"/>
    <row r="90" hidden="1" x14ac:dyDescent="0.2"/>
    <row r="91" hidden="1" x14ac:dyDescent="0.2"/>
  </sheetData>
  <sheetProtection algorithmName="SHA-512" hashValue="9dl/LYdkYqwV9RF7KhV/+JBbq0HrisNZ/5t15+RqkeN+fiGLztCEvdeYhx9ok9hISJ4V0+H4ern9UOB7ax61mA==" saltValue="ZzRY3cfCJWex1DsiDFeOWQ==" spinCount="100000" sheet="1" formatCells="0" formatColumns="0" formatRows="0"/>
  <mergeCells count="47">
    <mergeCell ref="A65:B65"/>
    <mergeCell ref="A66:B66"/>
    <mergeCell ref="A67:B67"/>
    <mergeCell ref="A68:B68"/>
    <mergeCell ref="A69:B69"/>
    <mergeCell ref="A63:E63"/>
    <mergeCell ref="A28:B28"/>
    <mergeCell ref="A29:B29"/>
    <mergeCell ref="A30:B30"/>
    <mergeCell ref="A58:F58"/>
    <mergeCell ref="A59:C59"/>
    <mergeCell ref="D59:E59"/>
    <mergeCell ref="A60:C60"/>
    <mergeCell ref="A61:C61"/>
    <mergeCell ref="D61:E61"/>
    <mergeCell ref="A62:C62"/>
    <mergeCell ref="D62:E62"/>
    <mergeCell ref="A27:B27"/>
    <mergeCell ref="A19:C19"/>
    <mergeCell ref="A20:C20"/>
    <mergeCell ref="D20:E20"/>
    <mergeCell ref="A21:C21"/>
    <mergeCell ref="A22:C22"/>
    <mergeCell ref="D22:E22"/>
    <mergeCell ref="A23:C23"/>
    <mergeCell ref="D23:E23"/>
    <mergeCell ref="A24:C24"/>
    <mergeCell ref="D24:E24"/>
    <mergeCell ref="A26:B26"/>
    <mergeCell ref="A18:F18"/>
    <mergeCell ref="A7:C7"/>
    <mergeCell ref="A8:C8"/>
    <mergeCell ref="D8:E8"/>
    <mergeCell ref="A9:C9"/>
    <mergeCell ref="D9:E9"/>
    <mergeCell ref="A10:E10"/>
    <mergeCell ref="A12:B12"/>
    <mergeCell ref="A13:B13"/>
    <mergeCell ref="A14:B14"/>
    <mergeCell ref="A15:B15"/>
    <mergeCell ref="A16:B16"/>
    <mergeCell ref="A1:M1"/>
    <mergeCell ref="A2:H2"/>
    <mergeCell ref="A3:H3"/>
    <mergeCell ref="A5:F5"/>
    <mergeCell ref="A6:C6"/>
    <mergeCell ref="D6:E6"/>
  </mergeCells>
  <phoneticPr fontId="11" type="noConversion"/>
  <dataValidations count="1">
    <dataValidation type="list" allowBlank="1" showInputMessage="1" showErrorMessage="1" sqref="D8:E8" xr:uid="{EE6FC14A-8F17-4FE0-9204-C6B801CD4496}">
      <formula1>$B$35:$B$37</formula1>
    </dataValidation>
  </dataValidations>
  <pageMargins left="0.75" right="0.75" top="1" bottom="1" header="0" footer="0"/>
  <pageSetup orientation="portrait"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6291-B1BC-4B67-9A41-008B93ABD96A}">
  <sheetPr codeName="Hoja17">
    <tabColor rgb="FF92D050"/>
  </sheetPr>
  <dimension ref="A1:J49"/>
  <sheetViews>
    <sheetView zoomScale="130" zoomScaleNormal="130" workbookViewId="0">
      <selection sqref="A1:H1"/>
    </sheetView>
  </sheetViews>
  <sheetFormatPr baseColWidth="10" defaultColWidth="11" defaultRowHeight="15" x14ac:dyDescent="0.25"/>
  <cols>
    <col min="1" max="1" width="45.7109375" style="15" customWidth="1"/>
    <col min="2" max="2" width="14.28515625" style="15" customWidth="1"/>
    <col min="3" max="7" width="14.7109375" style="15" customWidth="1"/>
    <col min="8" max="8" width="16.140625" style="15" customWidth="1"/>
    <col min="9" max="9" width="15.5703125" style="15" hidden="1" customWidth="1"/>
    <col min="10" max="16384" width="11" style="15"/>
  </cols>
  <sheetData>
    <row r="1" spans="1:8" ht="47.25" customHeight="1" x14ac:dyDescent="0.25">
      <c r="A1" s="301" t="str">
        <f>+'Arranque del Negocio'!A1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01"/>
      <c r="C1" s="301"/>
      <c r="D1" s="301"/>
      <c r="E1" s="301"/>
      <c r="F1" s="301"/>
      <c r="G1" s="301"/>
      <c r="H1" s="301"/>
    </row>
    <row r="3" spans="1:8" ht="26.25" x14ac:dyDescent="0.25">
      <c r="A3" s="352" t="s">
        <v>372</v>
      </c>
      <c r="B3" s="352"/>
      <c r="C3" s="352"/>
      <c r="D3" s="352"/>
      <c r="E3" s="352"/>
      <c r="F3" s="352"/>
      <c r="G3" s="352"/>
      <c r="H3" s="352"/>
    </row>
    <row r="4" spans="1:8" x14ac:dyDescent="0.25">
      <c r="B4" s="203"/>
    </row>
    <row r="5" spans="1:8" x14ac:dyDescent="0.25">
      <c r="B5" s="204">
        <v>0</v>
      </c>
      <c r="C5" s="5">
        <v>1</v>
      </c>
      <c r="D5" s="5">
        <v>2</v>
      </c>
      <c r="E5" s="5">
        <v>3</v>
      </c>
      <c r="F5" s="5">
        <v>4</v>
      </c>
      <c r="G5" s="5">
        <v>5</v>
      </c>
      <c r="H5" s="5" t="s">
        <v>4</v>
      </c>
    </row>
    <row r="6" spans="1:8" x14ac:dyDescent="0.25">
      <c r="B6" s="203"/>
    </row>
    <row r="7" spans="1:8" s="206" customFormat="1" x14ac:dyDescent="0.25">
      <c r="A7" s="205" t="s">
        <v>468</v>
      </c>
      <c r="B7" s="50">
        <f>+'Arranque del Negocio'!C6+'Arranque del Negocio'!C8</f>
        <v>98842552</v>
      </c>
      <c r="C7" s="50"/>
      <c r="D7" s="50"/>
      <c r="E7" s="50"/>
      <c r="F7" s="50"/>
      <c r="G7" s="50"/>
      <c r="H7" s="50"/>
    </row>
    <row r="8" spans="1:8" s="206" customFormat="1" x14ac:dyDescent="0.25"/>
    <row r="9" spans="1:8" s="206" customFormat="1" x14ac:dyDescent="0.25">
      <c r="A9" s="205" t="s">
        <v>373</v>
      </c>
    </row>
    <row r="10" spans="1:8" s="206" customFormat="1" x14ac:dyDescent="0.25">
      <c r="A10" s="207" t="s">
        <v>155</v>
      </c>
      <c r="B10" s="50"/>
      <c r="C10" s="50">
        <f>('5. Resumen Ventas Costos'!B52/12)*DI!J16</f>
        <v>393195000</v>
      </c>
      <c r="D10" s="50">
        <f>+'5. Resumen Ventas Costos'!C52</f>
        <v>442572231.5025</v>
      </c>
      <c r="E10" s="50">
        <f>+'5. Resumen Ventas Costos'!D52</f>
        <v>498150231.04846823</v>
      </c>
      <c r="F10" s="50">
        <f>+'5. Resumen Ventas Costos'!E52</f>
        <v>560707687.98841918</v>
      </c>
      <c r="G10" s="50">
        <f>+'5. Resumen Ventas Costos'!F52</f>
        <v>631121079.09216094</v>
      </c>
      <c r="H10" s="50">
        <f>SUM(D10:G10)</f>
        <v>2132551229.6315482</v>
      </c>
    </row>
    <row r="11" spans="1:8" s="206" customFormat="1" x14ac:dyDescent="0.25">
      <c r="A11" s="208" t="s">
        <v>374</v>
      </c>
      <c r="B11" s="217">
        <f>+B10</f>
        <v>0</v>
      </c>
      <c r="C11" s="217">
        <f>+C10</f>
        <v>393195000</v>
      </c>
      <c r="D11" s="217">
        <f>+D10+D7</f>
        <v>442572231.5025</v>
      </c>
      <c r="E11" s="217">
        <f>+E10+E7</f>
        <v>498150231.04846823</v>
      </c>
      <c r="F11" s="217">
        <f>+F10+F7</f>
        <v>560707687.98841918</v>
      </c>
      <c r="G11" s="217">
        <f>+G10+G7</f>
        <v>631121079.09216094</v>
      </c>
      <c r="H11" s="217">
        <f>SUM(C11:G11)</f>
        <v>2525746229.6315479</v>
      </c>
    </row>
    <row r="12" spans="1:8" s="206" customFormat="1" x14ac:dyDescent="0.25"/>
    <row r="13" spans="1:8" s="206" customFormat="1" x14ac:dyDescent="0.25"/>
    <row r="14" spans="1:8" s="206" customFormat="1" x14ac:dyDescent="0.25">
      <c r="A14" s="205" t="s">
        <v>375</v>
      </c>
    </row>
    <row r="15" spans="1:8" s="206" customFormat="1" x14ac:dyDescent="0.25"/>
    <row r="16" spans="1:8" s="206" customFormat="1" x14ac:dyDescent="0.25">
      <c r="A16" s="207" t="s">
        <v>393</v>
      </c>
      <c r="B16" s="50"/>
      <c r="C16" s="50">
        <f>('5. Resumen Ventas Costos'!B62/12)*DI!J16</f>
        <v>1931713400</v>
      </c>
      <c r="D16" s="50">
        <f>+'5. Resumen Ventas Costos'!C62</f>
        <v>2174297002.9152994</v>
      </c>
      <c r="E16" s="50">
        <f>+'5. Resumen Ventas Costos'!D62</f>
        <v>2447344133.3929014</v>
      </c>
      <c r="F16" s="50">
        <f>+'5. Resumen Ventas Costos'!E62</f>
        <v>2754680385.9923148</v>
      </c>
      <c r="G16" s="50">
        <f>+'5. Resumen Ventas Costos'!F62</f>
        <v>3100611771.5250368</v>
      </c>
      <c r="H16" s="50">
        <f>SUM(D16:G16)</f>
        <v>10476933293.825554</v>
      </c>
    </row>
    <row r="17" spans="1:9" s="206" customFormat="1" x14ac:dyDescent="0.25">
      <c r="A17" s="207" t="s">
        <v>394</v>
      </c>
      <c r="B17" s="50"/>
      <c r="C17" s="50">
        <f>('7. Costos Fijos'!C27/12)*DI!J16</f>
        <v>78029522.351199999</v>
      </c>
      <c r="D17" s="50">
        <f>+'7. Costos Fijos'!C27</f>
        <v>78029522.351199999</v>
      </c>
      <c r="E17" s="50">
        <f>+'7. Costos Fijos'!D27</f>
        <v>83249697.396495283</v>
      </c>
      <c r="F17" s="50">
        <f>+'7. Costos Fijos'!E27</f>
        <v>88819102.152320817</v>
      </c>
      <c r="G17" s="50">
        <f>+'7. Costos Fijos'!F27</f>
        <v>94761100.086311072</v>
      </c>
      <c r="H17" s="50">
        <f>SUM(D17:G17)</f>
        <v>344859421.98632717</v>
      </c>
    </row>
    <row r="18" spans="1:9" s="206" customFormat="1" x14ac:dyDescent="0.25">
      <c r="A18" s="207" t="s">
        <v>395</v>
      </c>
      <c r="B18" s="50">
        <f>+'Arranque del Negocio'!C7</f>
        <v>245892713.87976</v>
      </c>
      <c r="C18" s="50"/>
      <c r="D18" s="50"/>
      <c r="E18" s="50"/>
      <c r="F18" s="50"/>
      <c r="G18" s="50"/>
      <c r="H18" s="50">
        <f>+B18</f>
        <v>245892713.87976</v>
      </c>
    </row>
    <row r="19" spans="1:9" s="206" customFormat="1" x14ac:dyDescent="0.25">
      <c r="A19" s="207" t="s">
        <v>376</v>
      </c>
      <c r="B19" s="50"/>
      <c r="C19" s="50">
        <f>+('8. Gastos'!C43/12)*DI!J16</f>
        <v>126818628.0792</v>
      </c>
      <c r="D19" s="50">
        <f>+'8. Gastos'!D43</f>
        <v>135302794.2976985</v>
      </c>
      <c r="E19" s="50">
        <f>+'8. Gastos'!E43</f>
        <v>144354551.23621452</v>
      </c>
      <c r="F19" s="50">
        <f>+'8. Gastos'!F43</f>
        <v>154011870.71391726</v>
      </c>
      <c r="G19" s="50">
        <f>+'8. Gastos'!G43</f>
        <v>164315264.86467835</v>
      </c>
      <c r="H19" s="50">
        <f>SUM(D19:G19)</f>
        <v>597984481.11250865</v>
      </c>
    </row>
    <row r="20" spans="1:9" s="206" customFormat="1" x14ac:dyDescent="0.25">
      <c r="A20" s="207" t="s">
        <v>377</v>
      </c>
      <c r="B20" s="50"/>
      <c r="C20" s="50">
        <f>+('8. Gastos'!C59/12)*DI!J16</f>
        <v>103892628.0792</v>
      </c>
      <c r="D20" s="50">
        <f>+'8. Gastos'!D59</f>
        <v>110843044.89769848</v>
      </c>
      <c r="E20" s="50">
        <f>+'8. Gastos'!E59</f>
        <v>118258444.60135451</v>
      </c>
      <c r="F20" s="50">
        <f>+'8. Gastos'!F59</f>
        <v>126169934.54518512</v>
      </c>
      <c r="G20" s="50">
        <f>+'8. Gastos'!G59</f>
        <v>134610703.16625801</v>
      </c>
      <c r="H20" s="50">
        <f>SUM(D20:G20)</f>
        <v>489882127.21049607</v>
      </c>
    </row>
    <row r="21" spans="1:9" s="206" customFormat="1" x14ac:dyDescent="0.25">
      <c r="A21" s="208" t="s">
        <v>378</v>
      </c>
      <c r="B21" s="209">
        <f t="shared" ref="B21:G21" si="0">SUM(B16:B20)</f>
        <v>245892713.87976</v>
      </c>
      <c r="C21" s="217">
        <f>SUM(C16:C20)</f>
        <v>2240454178.5096002</v>
      </c>
      <c r="D21" s="209">
        <f t="shared" si="0"/>
        <v>2498472364.4618964</v>
      </c>
      <c r="E21" s="209">
        <f t="shared" si="0"/>
        <v>2793206826.626966</v>
      </c>
      <c r="F21" s="209">
        <f t="shared" si="0"/>
        <v>3123681293.403738</v>
      </c>
      <c r="G21" s="209">
        <f t="shared" si="0"/>
        <v>3494298839.6422839</v>
      </c>
      <c r="H21" s="209">
        <f>SUM(C21:G21)</f>
        <v>14150113502.644485</v>
      </c>
    </row>
    <row r="22" spans="1:9" s="206" customFormat="1" x14ac:dyDescent="0.25"/>
    <row r="23" spans="1:9" s="206" customFormat="1" x14ac:dyDescent="0.25">
      <c r="A23" s="205" t="s">
        <v>379</v>
      </c>
      <c r="B23" s="217">
        <f>+B7</f>
        <v>98842552</v>
      </c>
      <c r="C23" s="209">
        <f>+C11-C21</f>
        <v>-1847259178.5096002</v>
      </c>
      <c r="D23" s="209">
        <f>+D11-D21</f>
        <v>-2055900132.9593964</v>
      </c>
      <c r="E23" s="209">
        <f>+E11-E21</f>
        <v>-2295056595.5784979</v>
      </c>
      <c r="F23" s="209">
        <f>+F11-F21</f>
        <v>-2562973605.415319</v>
      </c>
      <c r="G23" s="209">
        <f>+G11-G21</f>
        <v>-2863177760.5501232</v>
      </c>
      <c r="H23" s="209">
        <f>SUM(C23:G23)</f>
        <v>-11624367273.012938</v>
      </c>
    </row>
    <row r="24" spans="1:9" s="206" customFormat="1" x14ac:dyDescent="0.25"/>
    <row r="25" spans="1:9" s="206" customFormat="1" x14ac:dyDescent="0.25"/>
    <row r="26" spans="1:9" s="206" customFormat="1" x14ac:dyDescent="0.25">
      <c r="A26" s="205" t="s">
        <v>380</v>
      </c>
    </row>
    <row r="27" spans="1:9" s="206" customFormat="1" x14ac:dyDescent="0.25"/>
    <row r="28" spans="1:9" s="206" customFormat="1" x14ac:dyDescent="0.25">
      <c r="A28" s="206" t="s">
        <v>381</v>
      </c>
      <c r="B28" s="218">
        <f>+'Arranque del Negocio'!E9</f>
        <v>310261739.29178399</v>
      </c>
      <c r="C28" s="50"/>
      <c r="D28" s="50"/>
      <c r="E28" s="50"/>
      <c r="F28" s="50"/>
      <c r="G28" s="50"/>
      <c r="H28" s="218">
        <f>SUM(B28:G28)</f>
        <v>310261739.29178399</v>
      </c>
    </row>
    <row r="29" spans="1:9" s="206" customFormat="1" x14ac:dyDescent="0.25">
      <c r="I29" s="205" t="s">
        <v>382</v>
      </c>
    </row>
    <row r="30" spans="1:9" s="206" customFormat="1" x14ac:dyDescent="0.25">
      <c r="A30" s="205" t="s">
        <v>383</v>
      </c>
      <c r="B30" s="65">
        <f>-B28</f>
        <v>-310261739.29178399</v>
      </c>
      <c r="C30" s="65">
        <f>+'9. Calculadora Cuota Préstamos'!C71</f>
        <v>54950080.346705593</v>
      </c>
      <c r="D30" s="65">
        <f>+'9. Calculadora Cuota Préstamos'!C72</f>
        <v>70164156.402689621</v>
      </c>
      <c r="E30" s="65">
        <f>+'9. Calculadora Cuota Préstamos'!C73</f>
        <v>70164156.402689621</v>
      </c>
      <c r="F30" s="65">
        <f>+'9. Calculadora Cuota Préstamos'!C74</f>
        <v>70164156.402689621</v>
      </c>
      <c r="G30" s="65">
        <f>+'9. Calculadora Cuota Préstamos'!C75</f>
        <v>70164156.402689621</v>
      </c>
      <c r="H30" s="65">
        <f>SUM(C30:G30)</f>
        <v>335606705.9574641</v>
      </c>
      <c r="I30" s="50"/>
    </row>
    <row r="31" spans="1:9" s="206" customFormat="1" x14ac:dyDescent="0.25">
      <c r="A31" s="219" t="s">
        <v>384</v>
      </c>
      <c r="B31" s="65">
        <f>+B30</f>
        <v>-310261739.29178399</v>
      </c>
      <c r="C31" s="65">
        <f>+C11-C21</f>
        <v>-1847259178.5096002</v>
      </c>
      <c r="D31" s="65">
        <f>+D11-D21</f>
        <v>-2055900132.9593964</v>
      </c>
      <c r="E31" s="65">
        <f>+E11-E21</f>
        <v>-2295056595.5784979</v>
      </c>
      <c r="F31" s="65">
        <f>+F23-F30</f>
        <v>-2633137761.8180084</v>
      </c>
      <c r="G31" s="65">
        <f>+G23-G30</f>
        <v>-2933341916.9528127</v>
      </c>
      <c r="H31" s="65">
        <f>SUM(C31:G31)</f>
        <v>-11764695585.818316</v>
      </c>
    </row>
    <row r="32" spans="1:9" s="206" customFormat="1" x14ac:dyDescent="0.25"/>
    <row r="33" spans="1:10" s="206" customFormat="1" hidden="1" x14ac:dyDescent="0.25"/>
    <row r="34" spans="1:10" s="206" customFormat="1" ht="24.75" hidden="1" customHeight="1" x14ac:dyDescent="0.25">
      <c r="A34" s="210" t="s">
        <v>385</v>
      </c>
      <c r="B34" s="238">
        <v>0.05</v>
      </c>
      <c r="C34" s="449" t="s">
        <v>386</v>
      </c>
      <c r="D34" s="449"/>
      <c r="E34" s="449"/>
      <c r="F34" s="449"/>
      <c r="G34" s="449"/>
      <c r="H34" s="449"/>
    </row>
    <row r="35" spans="1:10" s="206" customFormat="1" ht="30" hidden="1" customHeight="1" x14ac:dyDescent="0.25">
      <c r="A35" s="211" t="s">
        <v>387</v>
      </c>
      <c r="B35" s="212">
        <f>+NPV(B34,B31:G31)</f>
        <v>-9887155712.9909267</v>
      </c>
      <c r="C35" s="449" t="s">
        <v>388</v>
      </c>
      <c r="D35" s="449"/>
      <c r="E35" s="449"/>
      <c r="F35" s="449"/>
      <c r="G35" s="449"/>
      <c r="H35" s="449"/>
    </row>
    <row r="36" spans="1:10" s="206" customFormat="1" ht="45.75" customHeight="1" x14ac:dyDescent="0.25">
      <c r="A36" s="211" t="s">
        <v>389</v>
      </c>
      <c r="B36" s="213">
        <f>IFERROR(IRR('11. Estado PyG'!B16:G16),0)</f>
        <v>0</v>
      </c>
      <c r="C36" s="449" t="s">
        <v>390</v>
      </c>
      <c r="D36" s="449"/>
      <c r="E36" s="449"/>
      <c r="F36" s="449"/>
      <c r="G36" s="449"/>
      <c r="H36" s="449"/>
    </row>
    <row r="37" spans="1:10" s="206" customFormat="1" x14ac:dyDescent="0.25"/>
    <row r="38" spans="1:10" s="203" customFormat="1" hidden="1" x14ac:dyDescent="0.25">
      <c r="A38" s="205" t="s">
        <v>391</v>
      </c>
      <c r="B38" s="203">
        <v>0</v>
      </c>
      <c r="C38" s="206">
        <f>+ABS(B30)</f>
        <v>310261739.29178399</v>
      </c>
      <c r="D38" s="214">
        <f>+G31</f>
        <v>-2933341916.9528127</v>
      </c>
      <c r="E38" s="215">
        <f>+ABS(B38+B30/D38)</f>
        <v>0.10577073797591494</v>
      </c>
      <c r="F38" s="215">
        <f>+E38*(365*6)</f>
        <v>231.63791616725371</v>
      </c>
      <c r="G38" s="216">
        <f ca="1">+TODAY()</f>
        <v>46172</v>
      </c>
      <c r="H38" s="216">
        <f ca="1">+G38+F38</f>
        <v>46403.637916167252</v>
      </c>
    </row>
    <row r="39" spans="1:10" s="203" customFormat="1" hidden="1" x14ac:dyDescent="0.25"/>
    <row r="40" spans="1:10" s="203" customFormat="1" hidden="1" x14ac:dyDescent="0.25">
      <c r="A40" s="205" t="s">
        <v>391</v>
      </c>
      <c r="B40" s="139">
        <f>+E38</f>
        <v>0.10577073797591494</v>
      </c>
      <c r="J40" s="221"/>
    </row>
    <row r="41" spans="1:10" s="203" customFormat="1" x14ac:dyDescent="0.25">
      <c r="A41" s="130" t="s">
        <v>392</v>
      </c>
      <c r="B41" s="448" t="str">
        <f ca="1">DATEDIF(G38,H38,"y") &amp; " años " &amp; DATEDIF(G38,H38,"ym") &amp; " meses " &amp; DATEDIF(G38,H38,"md") &amp; " días"</f>
        <v>0 años 7 meses 17 días</v>
      </c>
      <c r="C41" s="448"/>
    </row>
    <row r="44" spans="1:10" hidden="1" x14ac:dyDescent="0.25">
      <c r="B44" s="239">
        <v>0</v>
      </c>
      <c r="C44" s="240">
        <f>+B30</f>
        <v>-310261739.29178399</v>
      </c>
      <c r="D44" s="203"/>
      <c r="E44" s="203"/>
      <c r="F44" s="203"/>
      <c r="G44" s="203"/>
    </row>
    <row r="45" spans="1:10" hidden="1" x14ac:dyDescent="0.25">
      <c r="B45" s="239">
        <v>1</v>
      </c>
      <c r="C45" s="240">
        <f>+C31</f>
        <v>-1847259178.5096002</v>
      </c>
      <c r="D45" s="206"/>
      <c r="E45" s="206"/>
      <c r="F45" s="206"/>
      <c r="G45" s="206"/>
    </row>
    <row r="46" spans="1:10" hidden="1" x14ac:dyDescent="0.25">
      <c r="B46" s="239">
        <v>2</v>
      </c>
      <c r="C46" s="241">
        <f>+D31</f>
        <v>-2055900132.9593964</v>
      </c>
      <c r="D46" s="60"/>
      <c r="E46" s="60"/>
      <c r="F46" s="60"/>
      <c r="G46" s="60"/>
    </row>
    <row r="47" spans="1:10" hidden="1" x14ac:dyDescent="0.25">
      <c r="B47" s="239">
        <v>3</v>
      </c>
      <c r="C47" s="241">
        <f>+E31</f>
        <v>-2295056595.5784979</v>
      </c>
    </row>
    <row r="48" spans="1:10" hidden="1" x14ac:dyDescent="0.25">
      <c r="B48" s="239">
        <v>4</v>
      </c>
      <c r="C48" s="241">
        <f>+F31</f>
        <v>-2633137761.8180084</v>
      </c>
    </row>
    <row r="49" spans="2:3" hidden="1" x14ac:dyDescent="0.25">
      <c r="B49" s="239">
        <v>5</v>
      </c>
      <c r="C49" s="241">
        <f>+G31</f>
        <v>-2933341916.9528127</v>
      </c>
    </row>
  </sheetData>
  <sheetProtection algorithmName="SHA-512" hashValue="OovxaNa/+GJH0WlpGv/As1yyjR7U6OQGuNbU3rgbowWeh3tjA9+MwSAzx47wnZOHrHZdwyWI9oXQz2z+Vk2D1A==" saltValue="fF+Hz5dyUAaK+pyfh/yMPg==" spinCount="100000" sheet="1" objects="1" scenarios="1"/>
  <mergeCells count="6">
    <mergeCell ref="B41:C41"/>
    <mergeCell ref="A1:H1"/>
    <mergeCell ref="A3:H3"/>
    <mergeCell ref="C34:H34"/>
    <mergeCell ref="C35:H35"/>
    <mergeCell ref="C36:H36"/>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415F0-4204-4670-91BB-378D1C4946BE}">
  <sheetPr codeName="Hoja19">
    <tabColor rgb="FF92D050"/>
  </sheetPr>
  <dimension ref="A1:I37"/>
  <sheetViews>
    <sheetView showGridLines="0" zoomScale="130" zoomScaleNormal="130" workbookViewId="0">
      <selection sqref="A1:H1"/>
    </sheetView>
  </sheetViews>
  <sheetFormatPr baseColWidth="10" defaultColWidth="11" defaultRowHeight="15" x14ac:dyDescent="0.25"/>
  <cols>
    <col min="1" max="1" width="31.42578125" style="15" customWidth="1"/>
    <col min="2" max="2" width="12" style="15" hidden="1" customWidth="1"/>
    <col min="3" max="7" width="13.42578125" style="15" customWidth="1"/>
    <col min="8" max="9" width="11.42578125" style="15" customWidth="1"/>
    <col min="10" max="16384" width="11" style="15"/>
  </cols>
  <sheetData>
    <row r="1" spans="1:8" ht="51" customHeight="1" x14ac:dyDescent="0.25">
      <c r="A1" s="450" t="str">
        <f>+'Arranque del Negocio'!A1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450"/>
      <c r="C1" s="450"/>
      <c r="D1" s="450"/>
      <c r="E1" s="450"/>
      <c r="F1" s="450"/>
      <c r="G1" s="450"/>
      <c r="H1" s="450"/>
    </row>
    <row r="2" spans="1:8" ht="15.75" thickBot="1" x14ac:dyDescent="0.3">
      <c r="A2" s="339" t="s">
        <v>401</v>
      </c>
      <c r="B2" s="339"/>
      <c r="C2" s="339"/>
      <c r="D2" s="339"/>
      <c r="E2" s="339"/>
      <c r="F2" s="339"/>
      <c r="G2" s="339"/>
    </row>
    <row r="3" spans="1:8" ht="15.75" x14ac:dyDescent="0.25">
      <c r="A3" s="222" t="s">
        <v>402</v>
      </c>
      <c r="B3" s="222"/>
      <c r="C3" s="223">
        <v>1</v>
      </c>
      <c r="D3" s="223">
        <v>2</v>
      </c>
      <c r="E3" s="223">
        <v>3</v>
      </c>
      <c r="F3" s="223">
        <v>4</v>
      </c>
      <c r="G3" s="223">
        <v>5</v>
      </c>
    </row>
    <row r="4" spans="1:8" x14ac:dyDescent="0.25">
      <c r="A4" s="224" t="s">
        <v>467</v>
      </c>
      <c r="B4" s="224"/>
      <c r="C4" s="242">
        <f>+'10. Flujo de Caja'!C11</f>
        <v>393195000</v>
      </c>
      <c r="D4" s="242">
        <f>+'5. Resumen Ventas Costos'!C52</f>
        <v>442572231.5025</v>
      </c>
      <c r="E4" s="242">
        <f>+'5. Resumen Ventas Costos'!D52</f>
        <v>498150231.04846823</v>
      </c>
      <c r="F4" s="242">
        <f>+'5. Resumen Ventas Costos'!E52</f>
        <v>560707687.98841918</v>
      </c>
      <c r="G4" s="242">
        <f>+'5. Resumen Ventas Costos'!F52</f>
        <v>631121079.09216094</v>
      </c>
    </row>
    <row r="5" spans="1:8" x14ac:dyDescent="0.25">
      <c r="A5" s="225" t="s">
        <v>403</v>
      </c>
      <c r="B5" s="225"/>
      <c r="C5" s="242">
        <f>+C4*0.0005</f>
        <v>196597.5</v>
      </c>
      <c r="D5" s="242">
        <f>(C5*DI!$B$7)+C5</f>
        <v>209749.87275000001</v>
      </c>
      <c r="E5" s="242">
        <f>(D5*DI!$B$7)+D5</f>
        <v>223782.139236975</v>
      </c>
      <c r="F5" s="242">
        <f>(E5*DI!$B$7)+E5</f>
        <v>238753.16435192863</v>
      </c>
      <c r="G5" s="242">
        <f>(F5*DI!$B$7)+F5</f>
        <v>254725.75104707264</v>
      </c>
    </row>
    <row r="6" spans="1:8" x14ac:dyDescent="0.25">
      <c r="A6" s="226" t="s">
        <v>466</v>
      </c>
      <c r="B6" s="226"/>
      <c r="C6" s="243">
        <f>+DI!L21</f>
        <v>1931713400</v>
      </c>
      <c r="D6" s="243">
        <f>+'5. Resumen Ventas Costos'!C62</f>
        <v>2174297002.9152994</v>
      </c>
      <c r="E6" s="243">
        <f>+'5. Resumen Ventas Costos'!D62</f>
        <v>2447344133.3929014</v>
      </c>
      <c r="F6" s="243">
        <f>+'5. Resumen Ventas Costos'!E62</f>
        <v>2754680385.9923148</v>
      </c>
      <c r="G6" s="243">
        <f>+'5. Resumen Ventas Costos'!F62</f>
        <v>3100611771.5250368</v>
      </c>
    </row>
    <row r="7" spans="1:8" x14ac:dyDescent="0.25">
      <c r="A7" s="226" t="s">
        <v>465</v>
      </c>
      <c r="B7" s="226"/>
      <c r="C7" s="243">
        <f>+DI!X14</f>
        <v>42730637.359200001</v>
      </c>
      <c r="D7" s="242">
        <f>(C7*DI!$B$15)+C7</f>
        <v>46802012.486784577</v>
      </c>
      <c r="E7" s="242">
        <f>(D7*DI!$B$15)+D7</f>
        <v>51261308.236525409</v>
      </c>
      <c r="F7" s="242">
        <f>(E7*DI!$B$15)+E7</f>
        <v>56145485.68530155</v>
      </c>
      <c r="G7" s="242">
        <f>(F7*DI!$B$15)+F7</f>
        <v>61495027.561397083</v>
      </c>
    </row>
    <row r="8" spans="1:8" x14ac:dyDescent="0.25">
      <c r="A8" s="226" t="s">
        <v>405</v>
      </c>
      <c r="B8" s="226"/>
      <c r="C8" s="243">
        <f>+DI!K101</f>
        <v>19089145.600000001</v>
      </c>
      <c r="D8" s="243">
        <f>(C8*DI!$B$7)+C8</f>
        <v>20366209.440640002</v>
      </c>
      <c r="E8" s="243">
        <f>(D8*DI!$B$7)+D8</f>
        <v>21728708.852218818</v>
      </c>
      <c r="F8" s="243">
        <f>(E8*DI!$B$7)+E8</f>
        <v>23182359.474432256</v>
      </c>
      <c r="G8" s="243">
        <f>(F8*DI!$B$7)+F8</f>
        <v>24733259.323271774</v>
      </c>
    </row>
    <row r="9" spans="1:8" x14ac:dyDescent="0.25">
      <c r="A9" s="226" t="s">
        <v>464</v>
      </c>
      <c r="B9" s="226"/>
      <c r="C9" s="243">
        <f>+'7. Costos Fijos'!C28</f>
        <v>28698884.991999999</v>
      </c>
      <c r="D9" s="242">
        <f>+'7. Costos Fijos'!D28</f>
        <v>30618840.397964805</v>
      </c>
      <c r="E9" s="242">
        <f>+'7. Costos Fijos'!E28</f>
        <v>32667240.820588648</v>
      </c>
      <c r="F9" s="242">
        <f>+'7. Costos Fijos'!F28</f>
        <v>34852679.231486022</v>
      </c>
      <c r="G9" s="242">
        <f>+'7. Costos Fijos'!G28</f>
        <v>37184323.472072445</v>
      </c>
    </row>
    <row r="10" spans="1:8" x14ac:dyDescent="0.25">
      <c r="A10" s="227" t="s">
        <v>407</v>
      </c>
      <c r="B10" s="227"/>
      <c r="C10" s="228">
        <f>+C4-C5-C6-C7-C8-C9</f>
        <v>-1629233665.4512</v>
      </c>
      <c r="D10" s="228">
        <f t="shared" ref="D10:G10" si="0">+D4-D5-D6-D7-D8-D9</f>
        <v>-1829721583.6109388</v>
      </c>
      <c r="E10" s="228">
        <f t="shared" si="0"/>
        <v>-2055074942.393003</v>
      </c>
      <c r="F10" s="228">
        <f t="shared" si="0"/>
        <v>-2308391975.5594678</v>
      </c>
      <c r="G10" s="228">
        <f t="shared" si="0"/>
        <v>-2593158028.5406642</v>
      </c>
    </row>
    <row r="11" spans="1:8" x14ac:dyDescent="0.25">
      <c r="A11" s="226" t="s">
        <v>408</v>
      </c>
      <c r="B11" s="226"/>
      <c r="C11" s="243">
        <f>+'10. Flujo de Caja'!C20</f>
        <v>103892628.0792</v>
      </c>
      <c r="D11" s="242">
        <f>+'8. Gastos'!D59</f>
        <v>110843044.89769848</v>
      </c>
      <c r="E11" s="242">
        <f>+'8. Gastos'!E59</f>
        <v>118258444.60135451</v>
      </c>
      <c r="F11" s="242">
        <f>+'8. Gastos'!F59</f>
        <v>126169934.54518512</v>
      </c>
      <c r="G11" s="242">
        <f>+'8. Gastos'!G59</f>
        <v>134610703.16625801</v>
      </c>
    </row>
    <row r="12" spans="1:8" x14ac:dyDescent="0.25">
      <c r="A12" s="226" t="s">
        <v>409</v>
      </c>
      <c r="B12" s="226"/>
      <c r="C12" s="243">
        <f>+'10. Flujo de Caja'!C19</f>
        <v>126818628.0792</v>
      </c>
      <c r="D12" s="242">
        <f>+'8. Gastos'!D43</f>
        <v>135302794.2976985</v>
      </c>
      <c r="E12" s="242">
        <f>+'8. Gastos'!E43</f>
        <v>144354551.23621452</v>
      </c>
      <c r="F12" s="242">
        <f>+'8. Gastos'!F43</f>
        <v>154011870.71391726</v>
      </c>
      <c r="G12" s="242">
        <f>+'8. Gastos'!G43</f>
        <v>164315264.86467835</v>
      </c>
    </row>
    <row r="13" spans="1:8" x14ac:dyDescent="0.25">
      <c r="A13" s="229" t="s">
        <v>410</v>
      </c>
      <c r="B13" s="229"/>
      <c r="C13" s="228">
        <f>+C10-C11-C12</f>
        <v>-1859944921.6096001</v>
      </c>
      <c r="D13" s="228">
        <f t="shared" ref="D13:G13" si="1">+D10-D11-D12</f>
        <v>-2075867422.8063357</v>
      </c>
      <c r="E13" s="228">
        <f t="shared" si="1"/>
        <v>-2317687938.2305722</v>
      </c>
      <c r="F13" s="228">
        <f t="shared" si="1"/>
        <v>-2588573780.8185701</v>
      </c>
      <c r="G13" s="228">
        <f t="shared" si="1"/>
        <v>-2892083996.5716004</v>
      </c>
    </row>
    <row r="14" spans="1:8" x14ac:dyDescent="0.25">
      <c r="A14" s="230" t="s">
        <v>411</v>
      </c>
      <c r="B14" s="230"/>
      <c r="C14" s="228">
        <f>+C13</f>
        <v>-1859944921.6096001</v>
      </c>
      <c r="D14" s="228">
        <f t="shared" ref="D14:G14" si="2">+D13</f>
        <v>-2075867422.8063357</v>
      </c>
      <c r="E14" s="228">
        <f t="shared" si="2"/>
        <v>-2317687938.2305722</v>
      </c>
      <c r="F14" s="228">
        <f t="shared" si="2"/>
        <v>-2588573780.8185701</v>
      </c>
      <c r="G14" s="228">
        <f t="shared" si="2"/>
        <v>-2892083996.5716004</v>
      </c>
    </row>
    <row r="15" spans="1:8" x14ac:dyDescent="0.25">
      <c r="A15" s="231" t="s">
        <v>412</v>
      </c>
      <c r="B15" s="232"/>
      <c r="C15" s="242">
        <f>IF(C14&lt;=0,0,(C14*0.33))</f>
        <v>0</v>
      </c>
      <c r="D15" s="242">
        <f t="shared" ref="D15:G15" si="3">IF(D14&lt;=0,0,(D14*0.33))</f>
        <v>0</v>
      </c>
      <c r="E15" s="242">
        <f t="shared" si="3"/>
        <v>0</v>
      </c>
      <c r="F15" s="242">
        <f t="shared" si="3"/>
        <v>0</v>
      </c>
      <c r="G15" s="242">
        <f t="shared" si="3"/>
        <v>0</v>
      </c>
    </row>
    <row r="16" spans="1:8" x14ac:dyDescent="0.25">
      <c r="A16" s="233" t="s">
        <v>413</v>
      </c>
      <c r="B16" s="237">
        <f>-'Arranque del Negocio'!C9</f>
        <v>-344735265.87976003</v>
      </c>
      <c r="C16" s="228">
        <f>+C14-C15</f>
        <v>-1859944921.6096001</v>
      </c>
      <c r="D16" s="228">
        <f t="shared" ref="D16:G16" si="4">+D14-D15</f>
        <v>-2075867422.8063357</v>
      </c>
      <c r="E16" s="228">
        <f t="shared" si="4"/>
        <v>-2317687938.2305722</v>
      </c>
      <c r="F16" s="228">
        <f t="shared" si="4"/>
        <v>-2588573780.8185701</v>
      </c>
      <c r="G16" s="228">
        <f t="shared" si="4"/>
        <v>-2892083996.5716004</v>
      </c>
    </row>
    <row r="19" spans="1:3" ht="15.75" thickBot="1" x14ac:dyDescent="0.3"/>
    <row r="20" spans="1:3" ht="15.75" x14ac:dyDescent="0.25">
      <c r="A20" s="234" t="s">
        <v>414</v>
      </c>
      <c r="C20" s="164" t="s">
        <v>415</v>
      </c>
    </row>
    <row r="21" spans="1:3" x14ac:dyDescent="0.25">
      <c r="A21" s="235" t="s">
        <v>155</v>
      </c>
      <c r="B21" s="263"/>
      <c r="C21" s="262">
        <f>+C4/12</f>
        <v>32766250</v>
      </c>
    </row>
    <row r="22" spans="1:3" x14ac:dyDescent="0.25">
      <c r="A22" s="264" t="s">
        <v>403</v>
      </c>
      <c r="B22" s="263"/>
      <c r="C22" s="262">
        <f>+C5/12</f>
        <v>16383.125</v>
      </c>
    </row>
    <row r="23" spans="1:3" x14ac:dyDescent="0.25">
      <c r="A23" s="235" t="s">
        <v>404</v>
      </c>
      <c r="B23" s="263"/>
      <c r="C23" s="262">
        <f>+C6/12</f>
        <v>160976116.66666666</v>
      </c>
    </row>
    <row r="24" spans="1:3" x14ac:dyDescent="0.25">
      <c r="A24" s="235" t="s">
        <v>405</v>
      </c>
      <c r="B24" s="263"/>
      <c r="C24" s="262">
        <f t="shared" ref="C24:C32" si="5">+C8/12</f>
        <v>1590762.1333333335</v>
      </c>
    </row>
    <row r="25" spans="1:3" x14ac:dyDescent="0.25">
      <c r="A25" s="235" t="s">
        <v>406</v>
      </c>
      <c r="B25" s="263"/>
      <c r="C25" s="262">
        <f t="shared" si="5"/>
        <v>2391573.7493333332</v>
      </c>
    </row>
    <row r="26" spans="1:3" x14ac:dyDescent="0.25">
      <c r="A26" s="230" t="s">
        <v>407</v>
      </c>
      <c r="B26" s="265"/>
      <c r="C26" s="266">
        <f t="shared" si="5"/>
        <v>-135769472.12093332</v>
      </c>
    </row>
    <row r="27" spans="1:3" x14ac:dyDescent="0.25">
      <c r="A27" s="235" t="s">
        <v>408</v>
      </c>
      <c r="B27" s="263"/>
      <c r="C27" s="262">
        <f t="shared" si="5"/>
        <v>8657719.0066</v>
      </c>
    </row>
    <row r="28" spans="1:3" x14ac:dyDescent="0.25">
      <c r="A28" s="235" t="s">
        <v>409</v>
      </c>
      <c r="B28" s="263"/>
      <c r="C28" s="262">
        <f t="shared" si="5"/>
        <v>10568219.0066</v>
      </c>
    </row>
    <row r="29" spans="1:3" x14ac:dyDescent="0.25">
      <c r="A29" s="236" t="s">
        <v>410</v>
      </c>
      <c r="B29" s="265"/>
      <c r="C29" s="266">
        <f t="shared" si="5"/>
        <v>-154995410.13413334</v>
      </c>
    </row>
    <row r="30" spans="1:3" x14ac:dyDescent="0.25">
      <c r="A30" s="230" t="s">
        <v>411</v>
      </c>
      <c r="B30" s="265"/>
      <c r="C30" s="266">
        <f t="shared" si="5"/>
        <v>-154995410.13413334</v>
      </c>
    </row>
    <row r="31" spans="1:3" x14ac:dyDescent="0.25">
      <c r="A31" s="231" t="s">
        <v>412</v>
      </c>
      <c r="B31" s="263"/>
      <c r="C31" s="262">
        <f t="shared" si="5"/>
        <v>0</v>
      </c>
    </row>
    <row r="32" spans="1:3" x14ac:dyDescent="0.25">
      <c r="A32" s="233" t="s">
        <v>413</v>
      </c>
      <c r="B32" s="265"/>
      <c r="C32" s="266">
        <f t="shared" si="5"/>
        <v>-154995410.13413334</v>
      </c>
    </row>
    <row r="35" spans="5:9" ht="15.75" thickBot="1" x14ac:dyDescent="0.3"/>
    <row r="36" spans="5:9" x14ac:dyDescent="0.25">
      <c r="E36" s="223">
        <v>1</v>
      </c>
      <c r="F36" s="223">
        <v>2</v>
      </c>
      <c r="G36" s="223">
        <v>3</v>
      </c>
      <c r="H36" s="223">
        <v>4</v>
      </c>
      <c r="I36" s="223">
        <v>5</v>
      </c>
    </row>
    <row r="37" spans="5:9" x14ac:dyDescent="0.25">
      <c r="E37" s="267">
        <f>+C16</f>
        <v>-1859944921.6096001</v>
      </c>
      <c r="F37" s="267">
        <f>+D16</f>
        <v>-2075867422.8063357</v>
      </c>
      <c r="G37" s="267">
        <f>+E16</f>
        <v>-2317687938.2305722</v>
      </c>
      <c r="H37" s="267">
        <f>+F16</f>
        <v>-2588573780.8185701</v>
      </c>
      <c r="I37" s="267">
        <f>+G16</f>
        <v>-2892083996.5716004</v>
      </c>
    </row>
  </sheetData>
  <sheetProtection algorithmName="SHA-512" hashValue="2U+BD3BLimkUUedgQBCDpz2Elft+9WwH806lfJ5LXpSnc2iSnHs2Pwu0isbUE9hpBsn7fRc6zKebgEPifI+Law==" saltValue="k30yxIegFM4jPFz9SZRrGg==" spinCount="100000" sheet="1" objects="1" scenarios="1"/>
  <mergeCells count="2">
    <mergeCell ref="A1:H1"/>
    <mergeCell ref="A2:G2"/>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B9AD4-8FB4-468A-9553-EE08DBF3323D}">
  <sheetPr codeName="Hoja20"/>
  <dimension ref="A1:N22"/>
  <sheetViews>
    <sheetView showGridLines="0" tabSelected="1" zoomScale="70" zoomScaleNormal="70" workbookViewId="0">
      <selection activeCell="B21" sqref="B21"/>
    </sheetView>
  </sheetViews>
  <sheetFormatPr baseColWidth="10" defaultColWidth="11.42578125" defaultRowHeight="15" x14ac:dyDescent="0.25"/>
  <cols>
    <col min="1" max="1" width="39.42578125" style="15" customWidth="1"/>
    <col min="2" max="2" width="17.28515625" style="15" customWidth="1"/>
    <col min="3" max="3" width="16.42578125" style="15" customWidth="1"/>
    <col min="4" max="16384" width="11.42578125" style="15"/>
  </cols>
  <sheetData>
    <row r="1" spans="1:14" ht="43.9" customHeight="1" x14ac:dyDescent="0.25">
      <c r="A1" s="301" t="str">
        <f>+'Datos Aprendiz'!A1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01"/>
      <c r="C1" s="301"/>
      <c r="D1" s="301"/>
      <c r="E1" s="301"/>
      <c r="F1" s="301"/>
      <c r="G1" s="301"/>
      <c r="H1" s="301"/>
      <c r="I1" s="301"/>
      <c r="J1" s="301"/>
    </row>
    <row r="2" spans="1:14" ht="15.75" thickBot="1" x14ac:dyDescent="0.3"/>
    <row r="3" spans="1:14" ht="15.75" x14ac:dyDescent="0.25">
      <c r="A3" s="222" t="s">
        <v>402</v>
      </c>
      <c r="B3" s="223">
        <v>1</v>
      </c>
      <c r="C3" s="175" t="s">
        <v>430</v>
      </c>
    </row>
    <row r="4" spans="1:14" x14ac:dyDescent="0.25">
      <c r="A4" s="224" t="s">
        <v>467</v>
      </c>
      <c r="B4" s="202">
        <v>2253139921.6096001</v>
      </c>
      <c r="C4" s="50">
        <f>+B4/12</f>
        <v>187761660.13413334</v>
      </c>
    </row>
    <row r="5" spans="1:14" x14ac:dyDescent="0.25">
      <c r="A5" s="225" t="s">
        <v>403</v>
      </c>
      <c r="B5" s="242">
        <f>+'11. Estado PyG'!C5</f>
        <v>196597.5</v>
      </c>
    </row>
    <row r="6" spans="1:14" x14ac:dyDescent="0.25">
      <c r="A6" s="226" t="s">
        <v>466</v>
      </c>
      <c r="B6" s="242">
        <f>+'11. Estado PyG'!C6</f>
        <v>1931713400</v>
      </c>
      <c r="E6" s="15" t="s">
        <v>421</v>
      </c>
    </row>
    <row r="7" spans="1:14" x14ac:dyDescent="0.25">
      <c r="A7" s="226" t="s">
        <v>465</v>
      </c>
      <c r="B7" s="242">
        <f>+'11. Estado PyG'!C7</f>
        <v>42730637.359200001</v>
      </c>
    </row>
    <row r="8" spans="1:14" x14ac:dyDescent="0.25">
      <c r="A8" s="226" t="s">
        <v>405</v>
      </c>
      <c r="B8" s="242">
        <f>+'11. Estado PyG'!C8</f>
        <v>19089145.600000001</v>
      </c>
      <c r="E8" s="302" t="s">
        <v>422</v>
      </c>
      <c r="F8" s="302"/>
      <c r="G8" s="302"/>
      <c r="H8" s="302"/>
      <c r="I8" s="302"/>
      <c r="J8" s="302"/>
      <c r="K8" s="302"/>
      <c r="L8" s="302"/>
      <c r="M8" s="302"/>
      <c r="N8" s="302"/>
    </row>
    <row r="9" spans="1:14" x14ac:dyDescent="0.25">
      <c r="A9" s="226" t="s">
        <v>464</v>
      </c>
      <c r="B9" s="242">
        <f>+'11. Estado PyG'!C9</f>
        <v>28698884.991999999</v>
      </c>
      <c r="E9" s="15" t="s">
        <v>423</v>
      </c>
    </row>
    <row r="10" spans="1:14" x14ac:dyDescent="0.25">
      <c r="A10" s="227" t="s">
        <v>407</v>
      </c>
      <c r="B10" s="228">
        <f>+B4-B5-B6-B7-B8-B9</f>
        <v>230711256.15840006</v>
      </c>
    </row>
    <row r="11" spans="1:14" x14ac:dyDescent="0.25">
      <c r="A11" s="226" t="s">
        <v>408</v>
      </c>
      <c r="B11" s="243">
        <f>+'11. Estado PyG'!C11</f>
        <v>103892628.0792</v>
      </c>
    </row>
    <row r="12" spans="1:14" x14ac:dyDescent="0.25">
      <c r="A12" s="226" t="s">
        <v>409</v>
      </c>
      <c r="B12" s="243">
        <f>+'11. Estado PyG'!C12</f>
        <v>126818628.0792</v>
      </c>
    </row>
    <row r="13" spans="1:14" x14ac:dyDescent="0.25">
      <c r="A13" s="229" t="s">
        <v>410</v>
      </c>
      <c r="B13" s="228">
        <f>+B10-B11-B12</f>
        <v>0</v>
      </c>
    </row>
    <row r="14" spans="1:14" x14ac:dyDescent="0.25">
      <c r="A14" s="230" t="s">
        <v>411</v>
      </c>
      <c r="B14" s="228">
        <f>+B13</f>
        <v>0</v>
      </c>
    </row>
    <row r="15" spans="1:14" x14ac:dyDescent="0.25">
      <c r="A15" s="231" t="s">
        <v>412</v>
      </c>
      <c r="B15" s="242">
        <f>IF(B14&lt;=0,0,(B14*0.33))</f>
        <v>0</v>
      </c>
    </row>
    <row r="16" spans="1:14" x14ac:dyDescent="0.25">
      <c r="A16" s="233" t="s">
        <v>413</v>
      </c>
      <c r="B16" s="228">
        <f>+B14-B15</f>
        <v>0</v>
      </c>
    </row>
    <row r="18" spans="1:13" x14ac:dyDescent="0.25">
      <c r="E18" s="302" t="s">
        <v>469</v>
      </c>
      <c r="F18" s="302"/>
      <c r="G18" s="302"/>
      <c r="H18" s="302"/>
      <c r="I18" s="302"/>
      <c r="J18" s="302"/>
      <c r="K18" s="302"/>
      <c r="L18" s="302"/>
      <c r="M18" s="302"/>
    </row>
    <row r="19" spans="1:13" x14ac:dyDescent="0.25">
      <c r="E19" s="15" t="s">
        <v>424</v>
      </c>
    </row>
    <row r="20" spans="1:13" x14ac:dyDescent="0.25">
      <c r="A20" s="138" t="s">
        <v>427</v>
      </c>
      <c r="B20" s="253">
        <f>+'11. Estado PyG'!C4</f>
        <v>393195000</v>
      </c>
      <c r="E20" s="451" t="s">
        <v>425</v>
      </c>
      <c r="F20" s="451"/>
      <c r="G20" s="451"/>
      <c r="H20" s="451"/>
      <c r="I20" s="451"/>
      <c r="J20" s="451"/>
      <c r="K20" s="451"/>
      <c r="L20" s="451"/>
      <c r="M20" s="451"/>
    </row>
    <row r="21" spans="1:13" x14ac:dyDescent="0.25">
      <c r="A21" s="138" t="s">
        <v>428</v>
      </c>
      <c r="B21" s="50">
        <f>+B4</f>
        <v>2253139921.6096001</v>
      </c>
      <c r="E21" s="451"/>
      <c r="F21" s="451"/>
      <c r="G21" s="451"/>
      <c r="H21" s="451"/>
      <c r="I21" s="451"/>
      <c r="J21" s="451"/>
      <c r="K21" s="451"/>
      <c r="L21" s="451"/>
      <c r="M21" s="451"/>
    </row>
    <row r="22" spans="1:13" ht="37.9" customHeight="1" x14ac:dyDescent="0.25">
      <c r="A22" s="155" t="s">
        <v>429</v>
      </c>
      <c r="B22" s="57">
        <f>+B20/B21</f>
        <v>0.17450980129059585</v>
      </c>
      <c r="E22" s="168" t="s">
        <v>426</v>
      </c>
    </row>
  </sheetData>
  <sheetProtection algorithmName="SHA-512" hashValue="+UhDQGHcAP2e+EuW3T0jnLU+vdg31U6LIQy4ocYOVFZFiUcg8faXJatnop8qRWUqhkb816541ydaUGPoZctXQQ==" saltValue="B8Ev+PxVhIUdMTNwj648Ig==" spinCount="100000" sheet="1" objects="1" scenarios="1"/>
  <mergeCells count="4">
    <mergeCell ref="E8:N8"/>
    <mergeCell ref="E18:M18"/>
    <mergeCell ref="E20:M21"/>
    <mergeCell ref="A1:J1"/>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77927-F0A4-4353-8B6F-10CA1184DB05}">
  <sheetPr codeName="Hoja21">
    <tabColor rgb="FF92D050"/>
  </sheetPr>
  <dimension ref="A1:J34"/>
  <sheetViews>
    <sheetView workbookViewId="0">
      <selection sqref="A1:J1"/>
    </sheetView>
  </sheetViews>
  <sheetFormatPr baseColWidth="10" defaultColWidth="11.42578125" defaultRowHeight="15" x14ac:dyDescent="0.25"/>
  <cols>
    <col min="1" max="1" width="50.140625" style="15" customWidth="1"/>
    <col min="2" max="2" width="19.140625" style="15" customWidth="1"/>
    <col min="3" max="16384" width="11.42578125" style="15"/>
  </cols>
  <sheetData>
    <row r="1" spans="1:10" ht="52.15" customHeight="1" x14ac:dyDescent="0.25">
      <c r="A1" s="301" t="str">
        <f>+'Datos Aprendiz'!A1</f>
        <v>CompuTech -- LUIGER DALIETH LEDEZMA ASPRILLA -- FAYBER ESTYBEN DIAZ TIERRADENTRO --  -- Formación Titulada: -- ANALISIS Y DESARROLLO DE SOFTWARE -- Número de Ficha: -- 3413988 --   HERRAMIENTA PEDAGÓGICA "SIMULACION PLAN DE NEGOCIO" CREADA PARA FORMACION EN EMPRENDIMIENTO DESARROLLADA POR: INSTRUCTOR ALEJANDRO DIAZ VIGENCIA 2026 V2.3 FEBRERO 2026</v>
      </c>
      <c r="B1" s="301"/>
      <c r="C1" s="301"/>
      <c r="D1" s="301"/>
      <c r="E1" s="301"/>
      <c r="F1" s="301"/>
      <c r="G1" s="301"/>
      <c r="H1" s="301"/>
      <c r="I1" s="301"/>
      <c r="J1" s="301"/>
    </row>
    <row r="3" spans="1:10" x14ac:dyDescent="0.25">
      <c r="A3" s="452" t="s">
        <v>431</v>
      </c>
      <c r="B3" s="452"/>
    </row>
    <row r="4" spans="1:10" x14ac:dyDescent="0.25">
      <c r="A4" s="453" t="str">
        <f>+'Datos Aprendiz'!B6</f>
        <v>CompuTech</v>
      </c>
      <c r="B4" s="454"/>
    </row>
    <row r="5" spans="1:10" x14ac:dyDescent="0.25">
      <c r="A5" s="455" t="s">
        <v>432</v>
      </c>
      <c r="B5" s="455"/>
    </row>
    <row r="6" spans="1:10" x14ac:dyDescent="0.25">
      <c r="A6" s="244"/>
      <c r="B6" s="245"/>
    </row>
    <row r="7" spans="1:10" x14ac:dyDescent="0.25">
      <c r="A7" s="456" t="s">
        <v>433</v>
      </c>
      <c r="B7" s="456"/>
    </row>
    <row r="8" spans="1:10" x14ac:dyDescent="0.25">
      <c r="A8" s="246" t="s">
        <v>198</v>
      </c>
      <c r="B8" s="247">
        <f>+'8. Gastos'!B27+'8. Gastos'!B29-'8. Gastos'!B26</f>
        <v>4428538.8797599971</v>
      </c>
    </row>
    <row r="9" spans="1:10" x14ac:dyDescent="0.25">
      <c r="A9" s="246" t="s">
        <v>197</v>
      </c>
      <c r="B9" s="247">
        <f>+'8. Gastos'!B26</f>
        <v>241464175</v>
      </c>
    </row>
    <row r="10" spans="1:10" x14ac:dyDescent="0.25">
      <c r="A10" s="248" t="s">
        <v>434</v>
      </c>
      <c r="B10" s="249">
        <f>SUM(B8:B9)</f>
        <v>245892713.87976</v>
      </c>
    </row>
    <row r="11" spans="1:10" x14ac:dyDescent="0.25">
      <c r="A11" s="244"/>
      <c r="B11" s="245"/>
    </row>
    <row r="12" spans="1:10" x14ac:dyDescent="0.25">
      <c r="A12" s="248" t="s">
        <v>435</v>
      </c>
      <c r="B12" s="244"/>
    </row>
    <row r="13" spans="1:10" x14ac:dyDescent="0.25">
      <c r="A13" s="246" t="s">
        <v>0</v>
      </c>
      <c r="B13" s="247">
        <f>+'1. Inversiones'!E7</f>
        <v>1448952</v>
      </c>
    </row>
    <row r="14" spans="1:10" x14ac:dyDescent="0.25">
      <c r="A14" s="246" t="s">
        <v>8</v>
      </c>
      <c r="B14" s="247">
        <f>+'1. Inversiones'!E21</f>
        <v>36223800</v>
      </c>
    </row>
    <row r="15" spans="1:10" x14ac:dyDescent="0.25">
      <c r="A15" s="246" t="s">
        <v>10</v>
      </c>
      <c r="B15" s="247">
        <f>+'1. Inversiones'!E32</f>
        <v>35641800</v>
      </c>
    </row>
    <row r="16" spans="1:10" x14ac:dyDescent="0.25">
      <c r="A16" s="246" t="s">
        <v>11</v>
      </c>
      <c r="B16" s="247">
        <f>+'1. Inversiones'!E40</f>
        <v>25528000</v>
      </c>
    </row>
    <row r="17" spans="1:2" x14ac:dyDescent="0.25">
      <c r="A17" s="248" t="s">
        <v>436</v>
      </c>
      <c r="B17" s="249">
        <f>SUM(B13:B16)</f>
        <v>98842552</v>
      </c>
    </row>
    <row r="18" spans="1:2" x14ac:dyDescent="0.25">
      <c r="A18" s="250"/>
      <c r="B18" s="245"/>
    </row>
    <row r="19" spans="1:2" x14ac:dyDescent="0.25">
      <c r="A19" s="251" t="s">
        <v>437</v>
      </c>
      <c r="B19" s="252">
        <f>+B10+B17</f>
        <v>344735265.87976003</v>
      </c>
    </row>
    <row r="20" spans="1:2" x14ac:dyDescent="0.25">
      <c r="A20" s="244"/>
      <c r="B20" s="245"/>
    </row>
    <row r="21" spans="1:2" x14ac:dyDescent="0.25">
      <c r="A21" s="248" t="s">
        <v>438</v>
      </c>
      <c r="B21" s="247">
        <v>0</v>
      </c>
    </row>
    <row r="22" spans="1:2" x14ac:dyDescent="0.25">
      <c r="A22" s="244"/>
      <c r="B22" s="245"/>
    </row>
    <row r="23" spans="1:2" x14ac:dyDescent="0.25">
      <c r="A23" s="248" t="s">
        <v>439</v>
      </c>
      <c r="B23" s="244"/>
    </row>
    <row r="24" spans="1:2" x14ac:dyDescent="0.25">
      <c r="A24" s="246" t="s">
        <v>440</v>
      </c>
      <c r="B24" s="247">
        <f>+'Arranque del Negocio'!E9</f>
        <v>310261739.29178399</v>
      </c>
    </row>
    <row r="25" spans="1:2" x14ac:dyDescent="0.25">
      <c r="A25" s="244"/>
      <c r="B25" s="245"/>
    </row>
    <row r="26" spans="1:2" x14ac:dyDescent="0.25">
      <c r="A26" s="248" t="s">
        <v>441</v>
      </c>
      <c r="B26" s="249">
        <f>+B21+B24</f>
        <v>310261739.29178399</v>
      </c>
    </row>
    <row r="27" spans="1:2" x14ac:dyDescent="0.25">
      <c r="A27" s="244"/>
      <c r="B27" s="245"/>
    </row>
    <row r="28" spans="1:2" x14ac:dyDescent="0.25">
      <c r="A28" s="248" t="s">
        <v>442</v>
      </c>
      <c r="B28" s="244"/>
    </row>
    <row r="29" spans="1:2" x14ac:dyDescent="0.25">
      <c r="A29" s="246" t="s">
        <v>240</v>
      </c>
      <c r="B29" s="247">
        <f>+'Arranque del Negocio'!D9</f>
        <v>34473526.587976001</v>
      </c>
    </row>
    <row r="30" spans="1:2" x14ac:dyDescent="0.25">
      <c r="A30" s="244"/>
      <c r="B30" s="245"/>
    </row>
    <row r="31" spans="1:2" x14ac:dyDescent="0.25">
      <c r="A31" s="251" t="s">
        <v>443</v>
      </c>
      <c r="B31" s="252">
        <f>+B26+B29</f>
        <v>344735265.87975997</v>
      </c>
    </row>
    <row r="34" spans="2:2" x14ac:dyDescent="0.25">
      <c r="B34" s="60"/>
    </row>
  </sheetData>
  <sheetProtection algorithmName="SHA-512" hashValue="2sn1OS6n3PbUHFYHCHlzpJkzXcHL75L3p4VhEgFNRoe48SeNasHOIFpIf0VS53jXFdKaDJ9S4eN45OGkhrGZPg==" saltValue="g61+JTNu/R2lRydqQ7SrRw==" spinCount="100000" sheet="1" objects="1" scenarios="1"/>
  <mergeCells count="5">
    <mergeCell ref="A1:J1"/>
    <mergeCell ref="A3:B3"/>
    <mergeCell ref="A4:B4"/>
    <mergeCell ref="A5:B5"/>
    <mergeCell ref="A7:B7"/>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C01A-4F17-4E06-82DD-4633A8FB76FE}">
  <sheetPr codeName="Hoja22">
    <tabColor rgb="FF92D050"/>
  </sheetPr>
  <dimension ref="A1:F42"/>
  <sheetViews>
    <sheetView topLeftCell="A18" zoomScale="130" zoomScaleNormal="130" workbookViewId="0">
      <selection activeCell="A2" sqref="A2:F2"/>
    </sheetView>
  </sheetViews>
  <sheetFormatPr baseColWidth="10" defaultColWidth="11.42578125" defaultRowHeight="12" x14ac:dyDescent="0.2"/>
  <cols>
    <col min="1" max="1" width="26.42578125" style="282" customWidth="1"/>
    <col min="2" max="6" width="12.85546875" style="282" customWidth="1"/>
    <col min="7" max="16384" width="11.42578125" style="282"/>
  </cols>
  <sheetData>
    <row r="1" spans="1:6" ht="12.75" x14ac:dyDescent="0.2">
      <c r="A1" s="458" t="str">
        <f>+CONCATENATE('V2.1'!A20,'Datos Aprendiz'!B6)</f>
        <v>RESUMEN EJECUTIVO - PLAN DE NEGOCIO   CompuTech</v>
      </c>
      <c r="B1" s="459"/>
      <c r="C1" s="459"/>
      <c r="D1" s="459"/>
      <c r="E1" s="459"/>
      <c r="F1" s="459"/>
    </row>
    <row r="2" spans="1:6" x14ac:dyDescent="0.2">
      <c r="A2" s="462" t="str">
        <f>+CONCATENATE('Datos Aprendiz'!C16,'Datos Aprendiz'!C17)</f>
        <v>ANALISIS Y DESARROLLO DE SOFTWARE3413988</v>
      </c>
      <c r="B2" s="462"/>
      <c r="C2" s="462"/>
      <c r="D2" s="462"/>
      <c r="E2" s="462"/>
      <c r="F2" s="462"/>
    </row>
    <row r="3" spans="1:6" x14ac:dyDescent="0.2">
      <c r="A3" s="460" t="s">
        <v>317</v>
      </c>
      <c r="B3" s="460"/>
      <c r="C3" s="460"/>
      <c r="D3" s="273" t="s">
        <v>460</v>
      </c>
    </row>
    <row r="4" spans="1:6" x14ac:dyDescent="0.2">
      <c r="A4" s="461" t="str">
        <f>+'Datos Aprendiz'!A12</f>
        <v>LUIGER DALIETH LEDEZMA ASPRILLA</v>
      </c>
      <c r="B4" s="461"/>
      <c r="C4" s="461"/>
      <c r="D4" s="285" t="str">
        <f>+'Datos Aprendiz'!C12</f>
        <v>1105469704</v>
      </c>
    </row>
    <row r="5" spans="1:6" x14ac:dyDescent="0.2">
      <c r="A5" s="461" t="str">
        <f>+'Datos Aprendiz'!A13</f>
        <v>FAYBER ESTYBEN DIAZ TIERRADENTRO</v>
      </c>
      <c r="B5" s="461"/>
      <c r="C5" s="461"/>
      <c r="D5" s="285" t="str">
        <f>+'Datos Aprendiz'!C13</f>
        <v>1075795667</v>
      </c>
    </row>
    <row r="6" spans="1:6" x14ac:dyDescent="0.2">
      <c r="A6" s="461">
        <f>+'Datos Aprendiz'!A14</f>
        <v>0</v>
      </c>
      <c r="B6" s="461"/>
      <c r="C6" s="461"/>
      <c r="D6" s="285">
        <f>+'Datos Aprendiz'!C14</f>
        <v>0</v>
      </c>
    </row>
    <row r="8" spans="1:6" ht="28.15" customHeight="1" x14ac:dyDescent="0.2">
      <c r="A8" s="457" t="s">
        <v>67</v>
      </c>
      <c r="B8" s="457"/>
      <c r="C8" s="457"/>
      <c r="D8" s="457"/>
      <c r="E8" s="457"/>
      <c r="F8" s="457"/>
    </row>
    <row r="9" spans="1:6" x14ac:dyDescent="0.2">
      <c r="A9" s="272" t="s">
        <v>21</v>
      </c>
      <c r="B9" s="273">
        <v>1</v>
      </c>
      <c r="C9" s="273">
        <v>2</v>
      </c>
      <c r="D9" s="273">
        <v>3</v>
      </c>
      <c r="E9" s="273">
        <v>4</v>
      </c>
      <c r="F9" s="273">
        <v>5</v>
      </c>
    </row>
    <row r="10" spans="1:6" x14ac:dyDescent="0.2">
      <c r="A10" s="270" t="str">
        <f>+'5. Resumen Ventas Costos'!A7</f>
        <v>Servicio tecnico</v>
      </c>
      <c r="B10" s="270">
        <f>+'5. Resumen Ventas Costos'!B7</f>
        <v>343</v>
      </c>
      <c r="C10" s="270">
        <f>+'5. Resumen Ventas Costos'!C7</f>
        <v>361.86499999999995</v>
      </c>
      <c r="D10" s="270">
        <f>+'5. Resumen Ventas Costos'!D7</f>
        <v>381.76757499999991</v>
      </c>
      <c r="E10" s="270">
        <f>+'5. Resumen Ventas Costos'!E7</f>
        <v>402.76479162499987</v>
      </c>
      <c r="F10" s="270">
        <f>+'5. Resumen Ventas Costos'!F7</f>
        <v>424.91685516437491</v>
      </c>
    </row>
    <row r="11" spans="1:6" x14ac:dyDescent="0.2">
      <c r="A11" s="270" t="str">
        <f>+'5. Resumen Ventas Costos'!A8</f>
        <v>Disco SSD (500gb)</v>
      </c>
      <c r="B11" s="270">
        <f>+'5. Resumen Ventas Costos'!B8</f>
        <v>194</v>
      </c>
      <c r="C11" s="270">
        <f>+'5. Resumen Ventas Costos'!C8</f>
        <v>204.67000000000002</v>
      </c>
      <c r="D11" s="270">
        <f>+'5. Resumen Ventas Costos'!D8</f>
        <v>215.92685</v>
      </c>
      <c r="E11" s="270">
        <f>+'5. Resumen Ventas Costos'!E8</f>
        <v>227.80282674999995</v>
      </c>
      <c r="F11" s="270">
        <f>+'5. Resumen Ventas Costos'!F8</f>
        <v>240.33198222124994</v>
      </c>
    </row>
    <row r="12" spans="1:6" x14ac:dyDescent="0.2">
      <c r="A12" s="270" t="str">
        <f>+'5. Resumen Ventas Costos'!A9</f>
        <v>Memoria RAM (DDR5 2x16gb)</v>
      </c>
      <c r="B12" s="270">
        <f>+'5. Resumen Ventas Costos'!B9</f>
        <v>167</v>
      </c>
      <c r="C12" s="270">
        <f>+'5. Resumen Ventas Costos'!C9</f>
        <v>176.185</v>
      </c>
      <c r="D12" s="270">
        <f>+'5. Resumen Ventas Costos'!D9</f>
        <v>185.87517500000001</v>
      </c>
      <c r="E12" s="270">
        <f>+'5. Resumen Ventas Costos'!E9</f>
        <v>196.09830962499996</v>
      </c>
      <c r="F12" s="270">
        <f>+'5. Resumen Ventas Costos'!F9</f>
        <v>206.88371665437495</v>
      </c>
    </row>
    <row r="13" spans="1:6" x14ac:dyDescent="0.2">
      <c r="A13" s="270" t="str">
        <f>+'5. Resumen Ventas Costos'!A10</f>
        <v>Tarjeta grafica (4060)</v>
      </c>
      <c r="B13" s="270">
        <f>+'5. Resumen Ventas Costos'!B10</f>
        <v>45</v>
      </c>
      <c r="C13" s="270">
        <f>+'5. Resumen Ventas Costos'!C10</f>
        <v>47.474999999999994</v>
      </c>
      <c r="D13" s="270">
        <f>+'5. Resumen Ventas Costos'!D10</f>
        <v>50.086124999999996</v>
      </c>
      <c r="E13" s="270">
        <f>+'5. Resumen Ventas Costos'!E10</f>
        <v>52.840861874999995</v>
      </c>
      <c r="F13" s="270">
        <f>+'5. Resumen Ventas Costos'!F10</f>
        <v>55.747109278124988</v>
      </c>
    </row>
    <row r="14" spans="1:6" x14ac:dyDescent="0.2">
      <c r="A14" s="270" t="str">
        <f>+'5. Resumen Ventas Costos'!A11</f>
        <v>Memoria USB (64gb)</v>
      </c>
      <c r="B14" s="270">
        <f>+'5. Resumen Ventas Costos'!B11</f>
        <v>378</v>
      </c>
      <c r="C14" s="270">
        <f>+'5. Resumen Ventas Costos'!C11</f>
        <v>398.78999999999996</v>
      </c>
      <c r="D14" s="270">
        <f>+'5. Resumen Ventas Costos'!D11</f>
        <v>420.72344999999996</v>
      </c>
      <c r="E14" s="270">
        <f>+'5. Resumen Ventas Costos'!E11</f>
        <v>443.86323974999993</v>
      </c>
      <c r="F14" s="270">
        <f>+'5. Resumen Ventas Costos'!F11</f>
        <v>468.27571793624986</v>
      </c>
    </row>
    <row r="15" spans="1:6" s="283" customFormat="1" ht="24" x14ac:dyDescent="0.25">
      <c r="A15" s="278" t="s">
        <v>68</v>
      </c>
      <c r="B15" s="279">
        <f>+'5. Resumen Ventas Costos'!B12</f>
        <v>1127</v>
      </c>
      <c r="C15" s="279">
        <f>+'5. Resumen Ventas Costos'!C12</f>
        <v>1188.9850000000001</v>
      </c>
      <c r="D15" s="279">
        <f>+'5. Resumen Ventas Costos'!D12</f>
        <v>1254.379175</v>
      </c>
      <c r="E15" s="279">
        <f>+'5. Resumen Ventas Costos'!E12</f>
        <v>1323.3700296249997</v>
      </c>
      <c r="F15" s="279">
        <f>+'5. Resumen Ventas Costos'!F12</f>
        <v>1396.1553812543748</v>
      </c>
    </row>
    <row r="17" spans="1:6" ht="30" customHeight="1" x14ac:dyDescent="0.2">
      <c r="A17" s="457" t="s">
        <v>74</v>
      </c>
      <c r="B17" s="457"/>
      <c r="C17" s="457"/>
      <c r="D17" s="457"/>
      <c r="E17" s="457"/>
      <c r="F17" s="457"/>
    </row>
    <row r="18" spans="1:6" x14ac:dyDescent="0.2">
      <c r="A18" s="272" t="s">
        <v>21</v>
      </c>
      <c r="B18" s="273">
        <v>1</v>
      </c>
      <c r="C18" s="273">
        <v>2</v>
      </c>
      <c r="D18" s="273">
        <v>3</v>
      </c>
      <c r="E18" s="273">
        <v>4</v>
      </c>
      <c r="F18" s="273">
        <v>5</v>
      </c>
    </row>
    <row r="19" spans="1:6" x14ac:dyDescent="0.2">
      <c r="A19" s="271" t="str">
        <f>+A10</f>
        <v>Servicio tecnico</v>
      </c>
      <c r="B19" s="275">
        <f>+'5. Resumen Ventas Costos'!B47</f>
        <v>27440000</v>
      </c>
      <c r="C19" s="275">
        <f>+'5. Resumen Ventas Costos'!C47</f>
        <v>30885901.479999997</v>
      </c>
      <c r="D19" s="275">
        <f>+'5. Resumen Ventas Costos'!D47</f>
        <v>34764537.544907652</v>
      </c>
      <c r="E19" s="275">
        <f>+'5. Resumen Ventas Costos'!E47</f>
        <v>39130250.787528381</v>
      </c>
      <c r="F19" s="275">
        <f>+'5. Resumen Ventas Costos'!F47</f>
        <v>44044208.116300806</v>
      </c>
    </row>
    <row r="20" spans="1:6" x14ac:dyDescent="0.2">
      <c r="A20" s="271" t="str">
        <f t="shared" ref="A20:A23" si="0">+A11</f>
        <v>Disco SSD (500gb)</v>
      </c>
      <c r="B20" s="275">
        <f>+'5. Resumen Ventas Costos'!B48</f>
        <v>97000000</v>
      </c>
      <c r="C20" s="275">
        <f>+'5. Resumen Ventas Costos'!C48</f>
        <v>109181211.50000001</v>
      </c>
      <c r="D20" s="275">
        <f>+'5. Resumen Ventas Costos'!D48</f>
        <v>122892133.44956426</v>
      </c>
      <c r="E20" s="275">
        <f>+'5. Resumen Ventas Costos'!E48</f>
        <v>138324866.1220938</v>
      </c>
      <c r="F20" s="275">
        <f>+'5. Resumen Ventas Costos'!F48</f>
        <v>155695633.64727327</v>
      </c>
    </row>
    <row r="21" spans="1:6" x14ac:dyDescent="0.2">
      <c r="A21" s="271" t="str">
        <f t="shared" si="0"/>
        <v>Memoria RAM (DDR5 2x16gb)</v>
      </c>
      <c r="B21" s="275">
        <f>+'5. Resumen Ventas Costos'!B49</f>
        <v>132765000</v>
      </c>
      <c r="C21" s="275">
        <f>+'5. Resumen Ventas Costos'!C49</f>
        <v>149437562.3175</v>
      </c>
      <c r="D21" s="275">
        <f>+'5. Resumen Ventas Costos'!D49</f>
        <v>168203856.6745505</v>
      </c>
      <c r="E21" s="275">
        <f>+'5. Resumen Ventas Costos'!E49</f>
        <v>189326812.89381215</v>
      </c>
      <c r="F21" s="275">
        <f>+'5. Resumen Ventas Costos'!F49</f>
        <v>213102379.39361063</v>
      </c>
    </row>
    <row r="22" spans="1:6" x14ac:dyDescent="0.2">
      <c r="A22" s="271" t="str">
        <f t="shared" si="0"/>
        <v>Tarjeta grafica (4060)</v>
      </c>
      <c r="B22" s="275">
        <f>+'5. Resumen Ventas Costos'!B50</f>
        <v>105750000</v>
      </c>
      <c r="C22" s="275">
        <f>+'5. Resumen Ventas Costos'!C50</f>
        <v>119030032.12499999</v>
      </c>
      <c r="D22" s="275">
        <f>+'5. Resumen Ventas Costos'!D50</f>
        <v>133977764.04424141</v>
      </c>
      <c r="E22" s="275">
        <f>+'5. Resumen Ventas Costos'!E50</f>
        <v>150802624.66403523</v>
      </c>
      <c r="F22" s="275">
        <f>+'5. Resumen Ventas Costos'!F50</f>
        <v>169740342.86803243</v>
      </c>
    </row>
    <row r="23" spans="1:6" x14ac:dyDescent="0.2">
      <c r="A23" s="271" t="str">
        <f t="shared" si="0"/>
        <v>Memoria USB (64gb)</v>
      </c>
      <c r="B23" s="275">
        <f>+'5. Resumen Ventas Costos'!B51</f>
        <v>30240000</v>
      </c>
      <c r="C23" s="275">
        <f>+'5. Resumen Ventas Costos'!C51</f>
        <v>34037524.079999998</v>
      </c>
      <c r="D23" s="275">
        <f>+'5. Resumen Ventas Costos'!D51</f>
        <v>38311939.335204355</v>
      </c>
      <c r="E23" s="275">
        <f>+'5. Resumen Ventas Costos'!E51</f>
        <v>43123133.520949654</v>
      </c>
      <c r="F23" s="275">
        <f>+'5. Resumen Ventas Costos'!F51</f>
        <v>48538515.066943735</v>
      </c>
    </row>
    <row r="24" spans="1:6" s="284" customFormat="1" ht="24" x14ac:dyDescent="0.25">
      <c r="A24" s="280" t="s">
        <v>75</v>
      </c>
      <c r="B24" s="281">
        <f>+'5. Resumen Ventas Costos'!B52</f>
        <v>393195000</v>
      </c>
      <c r="C24" s="281">
        <f>+'5. Resumen Ventas Costos'!C52</f>
        <v>442572231.5025</v>
      </c>
      <c r="D24" s="281">
        <f>+'5. Resumen Ventas Costos'!D52</f>
        <v>498150231.04846823</v>
      </c>
      <c r="E24" s="281">
        <f>+'5. Resumen Ventas Costos'!E52</f>
        <v>560707687.98841918</v>
      </c>
      <c r="F24" s="281">
        <f>+'5. Resumen Ventas Costos'!F52</f>
        <v>631121079.09216094</v>
      </c>
    </row>
    <row r="26" spans="1:6" x14ac:dyDescent="0.2">
      <c r="A26" s="369" t="s">
        <v>77</v>
      </c>
      <c r="B26" s="369"/>
      <c r="C26" s="369"/>
      <c r="D26" s="369"/>
      <c r="E26" s="369"/>
      <c r="F26" s="369"/>
    </row>
    <row r="27" spans="1:6" x14ac:dyDescent="0.2">
      <c r="A27" s="272" t="s">
        <v>21</v>
      </c>
      <c r="B27" s="273">
        <v>1</v>
      </c>
      <c r="C27" s="273">
        <v>2</v>
      </c>
      <c r="D27" s="273">
        <v>3</v>
      </c>
      <c r="E27" s="273">
        <v>4</v>
      </c>
      <c r="F27" s="273">
        <v>5</v>
      </c>
    </row>
    <row r="28" spans="1:6" x14ac:dyDescent="0.2">
      <c r="A28" s="271" t="str">
        <f>+A19</f>
        <v>Servicio tecnico</v>
      </c>
      <c r="B28" s="276">
        <f>+'5. Resumen Ventas Costos'!B77</f>
        <v>-58.547499999999999</v>
      </c>
      <c r="C28" s="276">
        <f>+'5. Resumen Ventas Costos'!C77</f>
        <v>-58.547499999999999</v>
      </c>
      <c r="D28" s="276">
        <f>+'5. Resumen Ventas Costos'!D77</f>
        <v>-58.547499999999992</v>
      </c>
      <c r="E28" s="276">
        <f>+'5. Resumen Ventas Costos'!E77</f>
        <v>-58.547499999999992</v>
      </c>
      <c r="F28" s="276">
        <f>+'5. Resumen Ventas Costos'!F77</f>
        <v>-58.547499999999992</v>
      </c>
    </row>
    <row r="29" spans="1:6" x14ac:dyDescent="0.2">
      <c r="A29" s="271" t="str">
        <f t="shared" ref="A29:A32" si="1">+A20</f>
        <v>Disco SSD (500gb)</v>
      </c>
      <c r="B29" s="276">
        <f>+'5. Resumen Ventas Costos'!B78</f>
        <v>0.19999999999999996</v>
      </c>
      <c r="C29" s="276">
        <f>+'5. Resumen Ventas Costos'!C78</f>
        <v>0.19999999999999996</v>
      </c>
      <c r="D29" s="276">
        <f>+'5. Resumen Ventas Costos'!D78</f>
        <v>0.20000000000000007</v>
      </c>
      <c r="E29" s="276">
        <f>+'5. Resumen Ventas Costos'!E78</f>
        <v>0.20000000000000007</v>
      </c>
      <c r="F29" s="276">
        <f>+'5. Resumen Ventas Costos'!F78</f>
        <v>0.20000000000000007</v>
      </c>
    </row>
    <row r="30" spans="1:6" x14ac:dyDescent="0.2">
      <c r="A30" s="271" t="str">
        <f t="shared" si="1"/>
        <v>Memoria RAM (DDR5 2x16gb)</v>
      </c>
      <c r="B30" s="276">
        <f>+'5. Resumen Ventas Costos'!B79</f>
        <v>0.11949685534591192</v>
      </c>
      <c r="C30" s="276">
        <f>+'5. Resumen Ventas Costos'!C79</f>
        <v>0.11949685534591192</v>
      </c>
      <c r="D30" s="276">
        <f>+'5. Resumen Ventas Costos'!D79</f>
        <v>0.11949685534591192</v>
      </c>
      <c r="E30" s="276">
        <f>+'5. Resumen Ventas Costos'!E79</f>
        <v>0.11949685534591181</v>
      </c>
      <c r="F30" s="276">
        <f>+'5. Resumen Ventas Costos'!F79</f>
        <v>0.11949685534591181</v>
      </c>
    </row>
    <row r="31" spans="1:6" x14ac:dyDescent="0.2">
      <c r="A31" s="271" t="str">
        <f t="shared" si="1"/>
        <v>Tarjeta grafica (4060)</v>
      </c>
      <c r="B31" s="276">
        <f>+'5. Resumen Ventas Costos'!B80</f>
        <v>0.14893617021276595</v>
      </c>
      <c r="C31" s="276">
        <f>+'5. Resumen Ventas Costos'!C80</f>
        <v>0.14893617021276595</v>
      </c>
      <c r="D31" s="276">
        <f>+'5. Resumen Ventas Costos'!D80</f>
        <v>0.14893617021276584</v>
      </c>
      <c r="E31" s="276">
        <f>+'5. Resumen Ventas Costos'!E80</f>
        <v>0.14893617021276584</v>
      </c>
      <c r="F31" s="276">
        <f>+'5. Resumen Ventas Costos'!F80</f>
        <v>0.14893617021276573</v>
      </c>
    </row>
    <row r="32" spans="1:6" x14ac:dyDescent="0.2">
      <c r="A32" s="271" t="str">
        <f t="shared" si="1"/>
        <v>Memoria USB (64gb)</v>
      </c>
      <c r="B32" s="276">
        <f>+'5. Resumen Ventas Costos'!B81</f>
        <v>0.5625</v>
      </c>
      <c r="C32" s="276">
        <f>+'5. Resumen Ventas Costos'!C81</f>
        <v>0.5625</v>
      </c>
      <c r="D32" s="276">
        <f>+'5. Resumen Ventas Costos'!D81</f>
        <v>0.5625</v>
      </c>
      <c r="E32" s="276">
        <f>+'5. Resumen Ventas Costos'!E81</f>
        <v>0.5625</v>
      </c>
      <c r="F32" s="276">
        <f>+'5. Resumen Ventas Costos'!F81</f>
        <v>0.5625</v>
      </c>
    </row>
    <row r="34" spans="1:5" ht="11.45" customHeight="1" x14ac:dyDescent="0.2">
      <c r="A34" s="463" t="s">
        <v>238</v>
      </c>
      <c r="B34" s="463"/>
      <c r="C34" s="463" t="s">
        <v>239</v>
      </c>
      <c r="D34" s="463" t="s">
        <v>240</v>
      </c>
      <c r="E34" s="463" t="s">
        <v>449</v>
      </c>
    </row>
    <row r="35" spans="1:5" ht="11.45" customHeight="1" x14ac:dyDescent="0.2">
      <c r="A35" s="463"/>
      <c r="B35" s="463"/>
      <c r="C35" s="463"/>
      <c r="D35" s="463"/>
      <c r="E35" s="463"/>
    </row>
    <row r="36" spans="1:5" ht="11.45" customHeight="1" x14ac:dyDescent="0.2">
      <c r="A36" s="463"/>
      <c r="B36" s="463"/>
      <c r="C36" s="463"/>
      <c r="D36" s="463"/>
      <c r="E36" s="463"/>
    </row>
    <row r="37" spans="1:5" x14ac:dyDescent="0.2">
      <c r="A37" s="465" t="str">
        <f>+'Arranque del Negocio'!B6</f>
        <v>Efectivo</v>
      </c>
      <c r="B37" s="465"/>
      <c r="C37" s="274">
        <f>+'Arranque del Negocio'!C6</f>
        <v>0</v>
      </c>
      <c r="D37" s="274">
        <f>+'Arranque del Negocio'!D6</f>
        <v>0</v>
      </c>
      <c r="E37" s="274">
        <f>+'Arranque del Negocio'!E6</f>
        <v>0</v>
      </c>
    </row>
    <row r="38" spans="1:5" x14ac:dyDescent="0.2">
      <c r="A38" s="465" t="str">
        <f>+'Arranque del Negocio'!B7</f>
        <v>Gastos anticipados Puesta en marcha</v>
      </c>
      <c r="B38" s="465"/>
      <c r="C38" s="274">
        <f>+'Arranque del Negocio'!C7</f>
        <v>245892713.87976</v>
      </c>
      <c r="D38" s="274">
        <f>+'Arranque del Negocio'!D7</f>
        <v>24589271.387976002</v>
      </c>
      <c r="E38" s="274">
        <f>+'Arranque del Negocio'!E7</f>
        <v>221303442.49178401</v>
      </c>
    </row>
    <row r="39" spans="1:5" x14ac:dyDescent="0.2">
      <c r="A39" s="465" t="str">
        <f>+'Arranque del Negocio'!B8</f>
        <v xml:space="preserve"> Inversiones fijas (maquinas, equipos, ect)</v>
      </c>
      <c r="B39" s="465"/>
      <c r="C39" s="274">
        <f>+'Arranque del Negocio'!C8</f>
        <v>98842552</v>
      </c>
      <c r="D39" s="274">
        <f>+'Arranque del Negocio'!D8</f>
        <v>9884255.2000000011</v>
      </c>
      <c r="E39" s="274">
        <f>+'Arranque del Negocio'!E8</f>
        <v>88958296.799999997</v>
      </c>
    </row>
    <row r="40" spans="1:5" x14ac:dyDescent="0.2">
      <c r="A40" s="466" t="str">
        <f>+'Arranque del Negocio'!B9</f>
        <v>Total Inversiones</v>
      </c>
      <c r="B40" s="466"/>
      <c r="C40" s="277">
        <f>+'Arranque del Negocio'!C9</f>
        <v>344735265.87976003</v>
      </c>
      <c r="D40" s="277">
        <f>+'Arranque del Negocio'!D9</f>
        <v>34473526.587976001</v>
      </c>
      <c r="E40" s="277">
        <f>+'Arranque del Negocio'!E9</f>
        <v>310261739.29178399</v>
      </c>
    </row>
    <row r="42" spans="1:5" x14ac:dyDescent="0.2">
      <c r="A42" s="467" t="str">
        <f>+'10. Flujo de Caja'!A41</f>
        <v>Usted recuperará su inversión en aproximadamente:</v>
      </c>
      <c r="B42" s="468"/>
      <c r="C42" s="468"/>
      <c r="D42" s="464" t="str">
        <f ca="1">+'10. Flujo de Caja'!B41</f>
        <v>0 años 7 meses 17 días</v>
      </c>
      <c r="E42" s="464"/>
    </row>
  </sheetData>
  <sheetProtection algorithmName="SHA-512" hashValue="W3IdHHFzBraphu8CAQLTCb4RHk/0Z4L60fgxqqOqhc86yZCSPMWigl35W3/5JREkJK1LzxEqlrsB9NZWHMVVKw==" saltValue="nTW9rllCRn/FV2GXkTvmBQ==" spinCount="100000" sheet="1" objects="1" scenarios="1"/>
  <mergeCells count="19">
    <mergeCell ref="A26:F26"/>
    <mergeCell ref="C34:C36"/>
    <mergeCell ref="D34:D36"/>
    <mergeCell ref="E34:E36"/>
    <mergeCell ref="D42:E42"/>
    <mergeCell ref="A34:B36"/>
    <mergeCell ref="A37:B37"/>
    <mergeCell ref="A38:B38"/>
    <mergeCell ref="A39:B39"/>
    <mergeCell ref="A40:B40"/>
    <mergeCell ref="A42:C42"/>
    <mergeCell ref="A8:F8"/>
    <mergeCell ref="A17:F17"/>
    <mergeCell ref="A1:F1"/>
    <mergeCell ref="A3:C3"/>
    <mergeCell ref="A4:C4"/>
    <mergeCell ref="A5:C5"/>
    <mergeCell ref="A6:C6"/>
    <mergeCell ref="A2:F2"/>
  </mergeCells>
  <pageMargins left="0.39370078740157483" right="0.39370078740157483" top="0.39370078740157483" bottom="0.39370078740157483" header="0.31496062992125984" footer="0.31496062992125984"/>
  <pageSetup paperSize="9"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98492-489E-4FB6-BFE4-A32E8B3BA077}">
  <sheetPr codeName="Hoja23"/>
  <dimension ref="A1:F30"/>
  <sheetViews>
    <sheetView zoomScale="73" zoomScaleNormal="73" workbookViewId="0">
      <selection activeCell="B6" sqref="B6"/>
    </sheetView>
  </sheetViews>
  <sheetFormatPr baseColWidth="10" defaultColWidth="11" defaultRowHeight="15" x14ac:dyDescent="0.25"/>
  <cols>
    <col min="1" max="1" width="15.42578125" style="293" customWidth="1"/>
    <col min="2" max="2" width="209.140625" style="291" customWidth="1"/>
    <col min="3" max="16384" width="11" style="291"/>
  </cols>
  <sheetData>
    <row r="1" spans="1:1" x14ac:dyDescent="0.25">
      <c r="A1" s="294"/>
    </row>
    <row r="26" spans="2:6" x14ac:dyDescent="0.25">
      <c r="B26" s="286"/>
      <c r="C26" s="287"/>
      <c r="D26" s="287"/>
      <c r="E26" s="287"/>
      <c r="F26" s="287"/>
    </row>
    <row r="30" spans="2:6" x14ac:dyDescent="0.25">
      <c r="B30" s="469" t="s">
        <v>477</v>
      </c>
      <c r="C30" s="469"/>
      <c r="D30" s="469"/>
      <c r="E30" s="469"/>
      <c r="F30" s="469"/>
    </row>
  </sheetData>
  <mergeCells count="1">
    <mergeCell ref="B30:F30"/>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23</vt:i4>
      </vt:variant>
    </vt:vector>
  </HeadingPairs>
  <TitlesOfParts>
    <vt:vector size="23" baseType="lpstr">
      <vt:lpstr>V2.1</vt:lpstr>
      <vt:lpstr>DI</vt:lpstr>
      <vt:lpstr>Datos Aprendiz</vt:lpstr>
      <vt:lpstr>Instrucciones</vt:lpstr>
      <vt:lpstr>Glosario</vt:lpstr>
      <vt:lpstr>1. Inversiones</vt:lpstr>
      <vt:lpstr>2. Mercado</vt:lpstr>
      <vt:lpstr>3. Proyección Ventas</vt:lpstr>
      <vt:lpstr>Gráficos Ventas</vt:lpstr>
      <vt:lpstr>Ventas Pesos Mes</vt:lpstr>
      <vt:lpstr>4. Costos Variables</vt:lpstr>
      <vt:lpstr>5. Resumen Ventas Costos</vt:lpstr>
      <vt:lpstr>6. Nomina</vt:lpstr>
      <vt:lpstr>7. Costos Fijos</vt:lpstr>
      <vt:lpstr>8. Gastos</vt:lpstr>
      <vt:lpstr>Arranque del Negocio</vt:lpstr>
      <vt:lpstr>9. Calculadora Cuota Préstamos</vt:lpstr>
      <vt:lpstr>10. Flujo de Caja</vt:lpstr>
      <vt:lpstr>11. Estado PyG</vt:lpstr>
      <vt:lpstr>12. P.E</vt:lpstr>
      <vt:lpstr>13. Balance Inicial</vt:lpstr>
      <vt:lpstr>14, Resumen Ejecutivo</vt:lpstr>
      <vt:lpst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Diaz</dc:creator>
  <cp:lastModifiedBy>negan4449@gmail.com</cp:lastModifiedBy>
  <cp:lastPrinted>2024-09-07T00:38:54Z</cp:lastPrinted>
  <dcterms:created xsi:type="dcterms:W3CDTF">2024-08-27T17:28:49Z</dcterms:created>
  <dcterms:modified xsi:type="dcterms:W3CDTF">2026-05-30T17:22:41Z</dcterms:modified>
</cp:coreProperties>
</file>