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ONCEPTOS" sheetId="1" r:id="rId5"/>
    <sheet state="visible" name="Datos Aprendiz" sheetId="2" r:id="rId6"/>
    <sheet state="visible" name="Test Cualidades" sheetId="3" r:id="rId7"/>
  </sheets>
  <definedNames/>
  <calcPr/>
</workbook>
</file>

<file path=xl/sharedStrings.xml><?xml version="1.0" encoding="utf-8"?>
<sst xmlns="http://schemas.openxmlformats.org/spreadsheetml/2006/main" count="146" uniqueCount="104">
  <si>
    <t>ASPECTO</t>
  </si>
  <si>
    <t>MAXIMA</t>
  </si>
  <si>
    <t>INTERMEDIA</t>
  </si>
  <si>
    <t>BAJA</t>
  </si>
  <si>
    <t>Asunción de riesgos (0-8)</t>
  </si>
  <si>
    <t>Este aspecto es muy favorable en la consecución de sus objetivos empresariales, no obstante se recomienda cierta prudencia para que esta competencia no reste importancia a las demás</t>
  </si>
  <si>
    <t>Cuenta con una actitud suficiente para afrontar riesgos e incertidumbre propios de la actividad empresarial. Aún asi busque fortalecer esta competencia</t>
  </si>
  <si>
    <t>Sería aconsejable una actitud más elevada en este aspecto para así poder aprovechar más oportunidades de negocio</t>
  </si>
  <si>
    <t>Capacidad de negociación (0-6)</t>
  </si>
  <si>
    <t>Este aspecto es muy favorable en la consecución de sus objetivos empresariales, no obstante se recomienda cierta prudencia para que esta actitud no reste importancia a las demás</t>
  </si>
  <si>
    <t xml:space="preserve">Cuenta con habilidades suficientes para negociar teniendo como objetivo que las dos partes ganen. Aún asi busque fortalecer esta competencia
</t>
  </si>
  <si>
    <t>En una negociación, sería aconsejable una actitud superior que le permita conseguir sus objetivos a la vez que preservar las relaciones personales con la otra parte.</t>
  </si>
  <si>
    <t>Confianza en sí mismo(0-8)</t>
  </si>
  <si>
    <t>La elevada confianza en sí mismo y en sus capacidades es un aspecto extremadamente favorable para la consecución de sus objetivos empresariales, no obstante se recomienda cierta prudencia para que esta actitud no reste importancia a las demás</t>
  </si>
  <si>
    <t>Interpretación del Test: (Rango de 4-6). Cuenta con una confianza en sí mismo y en sus habilidades suficiente para adaptarse a las necesidades del entorno y conseguir los objetivos empresariales marcados. Aún asi busque fortalecer esta competencia</t>
  </si>
  <si>
    <t>Un mayor control sobre sus emociones sería altamente beneficioso para alcanzar los objetivos empresariales propuestos</t>
  </si>
  <si>
    <t>Flexibilidad y adaptarse a cambios (0-8)</t>
  </si>
  <si>
    <t>Interpretación del Test: (Rango de 7-8). Este aspecto es muy favorable en la consecución de sus objetivos empresariales, no obstante se recomienda cierta prudencia para que esta competencia no reste importancia a las demás</t>
  </si>
  <si>
    <t>Su competencia en este aspecto parece suficiente para ser competitivos en el mercado empresarial. Aún asi busque fortalecer esta competencia</t>
  </si>
  <si>
    <t>Sería aconsejable una actitud superior y gozar de mayor capacidad en este sentido para así poder aprovechar más oportunidades de negocio</t>
  </si>
  <si>
    <t>Innovación y creatividad (0-10)</t>
  </si>
  <si>
    <t>Cuenta con habilidad suficiente para superar de manera innovadora los desafíos del entorno empresarial. Aún asi busque fortalecer esta competencia</t>
  </si>
  <si>
    <t>Sería aconsejable una actitud más elevada en este aspecto para procurar siempre la competitividad. Puede formarse y entrenarse en el tema</t>
  </si>
  <si>
    <t>Liderazgo de Equipos (0-6)</t>
  </si>
  <si>
    <t>Este aspecto es muy favorable en la consecución de sus objetivos empresariales, no obstante se recomienda cierta prudencia para que esta actitud no reste importancia a las demás.</t>
  </si>
  <si>
    <t>Cuenta con competencia suficiente para liderar un equipo de trabajo. Aún asi busque fortalecer esta competencia</t>
  </si>
  <si>
    <t>Sería necesario que esta habilidad fuese superior para responsabilizarse de un equipo de trabajo</t>
  </si>
  <si>
    <t>Tenacidad para el Trabajo (0-10)</t>
  </si>
  <si>
    <t>Su elevada actitud hacia el trabajo es un aspecto extremadamente favorable para la consecución de sus objetivos empresariales, no obstante se recomienda cierta prudencia para que esta actitud no reste importancia a las demás</t>
  </si>
  <si>
    <t>Cuenta con una actitud favorable hacia el trabajo lo que contribuirá de forma positiva a la consecución de sus metas empresariales</t>
  </si>
  <si>
    <t>Sería conveniente contar con una actitud superior, hacia su capapcidad y disposición de  trabajo  para responder de forma satisfactoria a las demandas de su proyecto empresarial</t>
  </si>
  <si>
    <t>Valoracion total (0-56)</t>
  </si>
  <si>
    <t>¡Adelante con su proyecto!, su elevada capacidad emprendedora le augura el éxito</t>
  </si>
  <si>
    <t>Tiene recursos suficientes para poner en marcha su negocio. Busque fortalceer aquellos aspectos en donde se muestra mayor debilidad. Aún asi busque fortalecer esta competencia</t>
  </si>
  <si>
    <t>Sería conveniente reenfocar su carrera profesional hacia campos diferentes al autoempleo o buscar un socio con un mejor perfil emprendedor que lo acompañe en su proyecto</t>
  </si>
  <si>
    <t>CC</t>
  </si>
  <si>
    <t>TI</t>
  </si>
  <si>
    <t>CE</t>
  </si>
  <si>
    <t>PEP</t>
  </si>
  <si>
    <t>Regional</t>
  </si>
  <si>
    <t xml:space="preserve">HUILA  </t>
  </si>
  <si>
    <t>Centro de Formación:</t>
  </si>
  <si>
    <t xml:space="preserve">Centro de la Industria la Empresa y los Servicios  </t>
  </si>
  <si>
    <t>Nombre Formación Titulada:</t>
  </si>
  <si>
    <t>Analisis y desarrollo de software</t>
  </si>
  <si>
    <t>Ficha:</t>
  </si>
  <si>
    <t>Nombre y Apellidos completos:</t>
  </si>
  <si>
    <t>Fayber Estyben Díaz Tierradentro</t>
  </si>
  <si>
    <t>Tipo de documento de identidad:</t>
  </si>
  <si>
    <t>Fecha:</t>
  </si>
  <si>
    <t>Correo Electrónico Personal:</t>
  </si>
  <si>
    <t>diazfayber27@gmail.com</t>
  </si>
  <si>
    <t>Instrucciones iniciales de la evidencia:</t>
  </si>
  <si>
    <t>1. Realice el test cualidades emprendedoras</t>
  </si>
  <si>
    <t>2. Realice el ejercicio MATRIZ DOFA PERSONAL y haga un análisis de su perfil como emprendedor en el Word Anexo a esta evidencia</t>
  </si>
  <si>
    <t>TEST DE CUALIDADES  EMPRENDEDORAS</t>
  </si>
  <si>
    <t>Tomado de: http://www.ildefe.es/ildefefront/frontIldefeAction.do?action=viewCategory&amp;categoryName=Test+de+Evaluaci%F3n+de+Emprendedores&amp;id=6261</t>
  </si>
  <si>
    <t>TEST DE EVALUACION DE EMPRENDEDORES</t>
  </si>
  <si>
    <t>Marque de forma objetiva  con una X  de acuerdo a lo que considera que se acomoda mas a su perfil en cada pregunta</t>
  </si>
  <si>
    <t>Preguntas</t>
  </si>
  <si>
    <t>A veces</t>
  </si>
  <si>
    <t>De acuerdo</t>
  </si>
  <si>
    <t>En desacuerdo</t>
  </si>
  <si>
    <t>1. En una empresa hay que estar atento, siempre se están presentando nuevas oportunidades de negocio</t>
  </si>
  <si>
    <t>x</t>
  </si>
  <si>
    <t xml:space="preserve">2.Me identifico con la frase "El 90% del éxito se basa simplemente en insistir". </t>
  </si>
  <si>
    <t>3. La toma de decisiones es un acto exlusivamente racional</t>
  </si>
  <si>
    <t>4. No me gustan los imprevistos, prefiero saber cada día con qué me voy a encontrar</t>
  </si>
  <si>
    <t>5. Un buen negociador solo tiene en cuenta sus intereses</t>
  </si>
  <si>
    <t>6. A menudo tengo la sensación de que lo que digo no se tiene mucho en cuenta</t>
  </si>
  <si>
    <t>7. Me concentro con facilidad, y no me cuesta pasar de una tarea a otra</t>
  </si>
  <si>
    <t>8. Tiendo a disfrutar con las personas y las situaciones nuevas</t>
  </si>
  <si>
    <t>9. Me molesta tener que dedicar parte de mi tiempo libre a asuntos de la empresa.</t>
  </si>
  <si>
    <t>10. Me suelen decir que "ponga los pies en el suelo", tengo mucha imaginación</t>
  </si>
  <si>
    <t>11. Después de tomar una decisión, me preocupa mucho que ésta no sea la mejor</t>
  </si>
  <si>
    <t>12. Muchos operarios para que trabajen, necesitan "mano dura"</t>
  </si>
  <si>
    <t>13. Soy de los que piensan que los pequeños fracasos son peldaños hacia el éxito</t>
  </si>
  <si>
    <t>14. En ocasiones sin saber por qué me siento tenso (a)</t>
  </si>
  <si>
    <t>15. Me podrían criticar por faltarme siempre tiempo para escuchar a mis colaboradores</t>
  </si>
  <si>
    <t>16. Me gusta proponer nuevas formas de hacer las cosas. No soporto la rutina</t>
  </si>
  <si>
    <t>17. No me resulta fácil ponerme en el lugar de la otra persona</t>
  </si>
  <si>
    <t>18. Me entusiasma la idea de desarrollar un nuevo proyecto aunque ello suponga más trabajo</t>
  </si>
  <si>
    <t>19. Soporto mal los cambios, me siento cómodo (a) con lo establecido</t>
  </si>
  <si>
    <t>20. Prefiero actuar según el momento que invertir tiempo en planificar</t>
  </si>
  <si>
    <t>21. Me gusta trabajar sobre seguro y no correr riesgos por pequeños que éstos sean</t>
  </si>
  <si>
    <t>22. Mis amigos me ven como a una persona con éxito</t>
  </si>
  <si>
    <t>23. Si un método funciona no merece la pena cambiarlo</t>
  </si>
  <si>
    <t>24. Ante una situación tensa con un colaborador tiendo a resolverla cuanto antes</t>
  </si>
  <si>
    <t>25. Cuando me comprometo con algo, no escatimo ni esfuerzos ni tiempo para realizarlo</t>
  </si>
  <si>
    <t>26. Antes de tomar una decisión, me gusta analizar la información y prever las consecuencias</t>
  </si>
  <si>
    <t>27. Considero que los problemas solo tienen una solución posible</t>
  </si>
  <si>
    <t>28. En una negociación exitosa siempre hay una parte ganadora y otra perdedora</t>
  </si>
  <si>
    <t>Area</t>
  </si>
  <si>
    <t>Concepto</t>
  </si>
  <si>
    <t>Asunción de riesgos</t>
  </si>
  <si>
    <t>Capacidad de negociación</t>
  </si>
  <si>
    <t>Confianza en sí mismo</t>
  </si>
  <si>
    <t>Flexibilidad y adaptarse a cambios</t>
  </si>
  <si>
    <t>Innovación y creatividad</t>
  </si>
  <si>
    <t>Liderazgo de Equipos</t>
  </si>
  <si>
    <t>Tenacidad para el Trabajo</t>
  </si>
  <si>
    <t>TOTAL</t>
  </si>
  <si>
    <t>COMPETENCIAS</t>
  </si>
  <si>
    <t>DESCRIPCION DE LOS RESULTADOS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</si>
</sst>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"/>
  </numFmts>
  <fonts count="1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6.0"/>
      <color theme="1"/>
      <name val="Calibri"/>
    </font>
    <font/>
    <font>
      <b/>
      <sz val="16.0"/>
      <color theme="1"/>
      <name val="Calibri"/>
    </font>
    <font>
      <b/>
      <sz val="18.0"/>
      <color theme="1"/>
      <name val="Calibri"/>
    </font>
    <font>
      <sz val="14.0"/>
      <color theme="1"/>
      <name val="Calibri"/>
    </font>
    <font>
      <b/>
      <sz val="22.0"/>
      <color theme="1"/>
      <name val="Calibri"/>
    </font>
    <font>
      <sz val="8.0"/>
      <color theme="1"/>
      <name val="Calibri"/>
    </font>
    <font>
      <b/>
      <sz val="14.0"/>
      <color theme="1"/>
      <name val="Calibri"/>
    </font>
    <font>
      <b/>
      <sz val="12.0"/>
      <color theme="1"/>
      <name val="Trebuchet MS"/>
    </font>
    <font>
      <b/>
      <sz val="11.0"/>
      <color theme="1"/>
      <name val="Calibri"/>
    </font>
    <font>
      <sz val="11.0"/>
      <color theme="0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rgb="FFFDE9D9"/>
        <bgColor rgb="FFFDE9D9"/>
      </patternFill>
    </fill>
    <fill>
      <patternFill patternType="solid">
        <fgColor rgb="FFD8D8D8"/>
        <bgColor rgb="FFD8D8D8"/>
      </patternFill>
    </fill>
    <fill>
      <patternFill patternType="solid">
        <fgColor theme="1"/>
        <bgColor theme="1"/>
      </patternFill>
    </fill>
  </fills>
  <borders count="4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/>
    </border>
    <border>
      <left/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</border>
    <border>
      <right style="medium">
        <color rgb="FF000000"/>
      </right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shrinkToFit="0" vertical="center" wrapText="1"/>
    </xf>
    <xf borderId="0" fillId="0" fontId="2" numFmtId="0" xfId="0" applyFont="1"/>
    <xf borderId="2" fillId="0" fontId="3" numFmtId="0" xfId="0" applyBorder="1" applyFont="1"/>
    <xf borderId="3" fillId="0" fontId="3" numFmtId="0" xfId="0" applyAlignment="1" applyBorder="1" applyFont="1">
      <alignment horizontal="center"/>
    </xf>
    <xf borderId="4" fillId="0" fontId="4" numFmtId="0" xfId="0" applyBorder="1" applyFont="1"/>
    <xf borderId="5" fillId="2" fontId="3" numFmtId="0" xfId="0" applyBorder="1" applyFill="1" applyFont="1"/>
    <xf borderId="6" fillId="0" fontId="3" numFmtId="0" xfId="0" applyBorder="1" applyFont="1"/>
    <xf borderId="7" fillId="0" fontId="3" numFmtId="0" xfId="0" applyAlignment="1" applyBorder="1" applyFont="1">
      <alignment horizontal="center"/>
    </xf>
    <xf borderId="8" fillId="0" fontId="4" numFmtId="0" xfId="0" applyBorder="1" applyFont="1"/>
    <xf borderId="9" fillId="0" fontId="3" numFmtId="0" xfId="0" applyBorder="1" applyFont="1"/>
    <xf borderId="7" fillId="3" fontId="3" numFmtId="0" xfId="0" applyAlignment="1" applyBorder="1" applyFill="1" applyFont="1">
      <alignment horizontal="center" readingOrder="0"/>
    </xf>
    <xf borderId="1" fillId="4" fontId="3" numFmtId="14" xfId="0" applyBorder="1" applyFill="1" applyFont="1" applyNumberFormat="1"/>
    <xf borderId="10" fillId="3" fontId="3" numFmtId="0" xfId="0" applyAlignment="1" applyBorder="1" applyFont="1">
      <alignment readingOrder="0"/>
    </xf>
    <xf borderId="7" fillId="3" fontId="3" numFmtId="164" xfId="0" applyAlignment="1" applyBorder="1" applyFont="1" applyNumberFormat="1">
      <alignment horizontal="center" readingOrder="0"/>
    </xf>
    <xf borderId="11" fillId="0" fontId="3" numFmtId="0" xfId="0" applyBorder="1" applyFont="1"/>
    <xf borderId="12" fillId="3" fontId="3" numFmtId="0" xfId="0" applyAlignment="1" applyBorder="1" applyFont="1">
      <alignment horizontal="center" readingOrder="0"/>
    </xf>
    <xf borderId="13" fillId="0" fontId="4" numFmtId="0" xfId="0" applyBorder="1" applyFont="1"/>
    <xf borderId="0" fillId="0" fontId="5" numFmtId="0" xfId="0" applyAlignment="1" applyFont="1">
      <alignment horizontal="center"/>
    </xf>
    <xf borderId="7" fillId="0" fontId="6" numFmtId="0" xfId="0" applyAlignment="1" applyBorder="1" applyFont="1">
      <alignment horizontal="left" vertical="center"/>
    </xf>
    <xf borderId="14" fillId="0" fontId="4" numFmtId="0" xfId="0" applyBorder="1" applyFont="1"/>
    <xf borderId="15" fillId="0" fontId="4" numFmtId="0" xfId="0" applyBorder="1" applyFont="1"/>
    <xf borderId="0" fillId="0" fontId="6" numFmtId="0" xfId="0" applyFont="1"/>
    <xf borderId="0" fillId="0" fontId="3" numFmtId="0" xfId="0" applyAlignment="1" applyFont="1">
      <alignment horizontal="left" vertical="center"/>
    </xf>
    <xf borderId="0" fillId="0" fontId="3" numFmtId="0" xfId="0" applyFont="1"/>
    <xf borderId="0" fillId="0" fontId="7" numFmtId="0" xfId="0" applyAlignment="1" applyFont="1">
      <alignment horizontal="center"/>
    </xf>
    <xf borderId="5" fillId="2" fontId="1" numFmtId="0" xfId="0" applyBorder="1" applyFont="1"/>
    <xf borderId="16" fillId="2" fontId="8" numFmtId="0" xfId="0" applyAlignment="1" applyBorder="1" applyFont="1">
      <alignment horizontal="center"/>
    </xf>
    <xf borderId="17" fillId="0" fontId="4" numFmtId="0" xfId="0" applyBorder="1" applyFont="1"/>
    <xf borderId="18" fillId="0" fontId="4" numFmtId="0" xfId="0" applyBorder="1" applyFont="1"/>
    <xf borderId="5" fillId="2" fontId="9" numFmtId="0" xfId="0" applyBorder="1" applyFont="1"/>
    <xf borderId="19" fillId="2" fontId="10" numFmtId="0" xfId="0" applyAlignment="1" applyBorder="1" applyFont="1">
      <alignment horizontal="center"/>
    </xf>
    <xf borderId="20" fillId="0" fontId="4" numFmtId="0" xfId="0" applyBorder="1" applyFont="1"/>
    <xf borderId="21" fillId="0" fontId="4" numFmtId="0" xfId="0" applyBorder="1" applyFont="1"/>
    <xf borderId="16" fillId="2" fontId="1" numFmtId="0" xfId="0" applyAlignment="1" applyBorder="1" applyFont="1">
      <alignment horizontal="center" shrinkToFit="0" wrapText="1"/>
    </xf>
    <xf borderId="19" fillId="5" fontId="10" numFmtId="0" xfId="0" applyAlignment="1" applyBorder="1" applyFill="1" applyFont="1">
      <alignment horizontal="center"/>
    </xf>
    <xf borderId="22" fillId="0" fontId="4" numFmtId="0" xfId="0" applyBorder="1" applyFont="1"/>
    <xf borderId="23" fillId="5" fontId="10" numFmtId="0" xfId="0" applyAlignment="1" applyBorder="1" applyFont="1">
      <alignment horizontal="center"/>
    </xf>
    <xf borderId="24" fillId="5" fontId="10" numFmtId="0" xfId="0" applyAlignment="1" applyBorder="1" applyFont="1">
      <alignment horizontal="center"/>
    </xf>
    <xf borderId="25" fillId="0" fontId="11" numFmtId="0" xfId="0" applyAlignment="1" applyBorder="1" applyFont="1">
      <alignment horizontal="left"/>
    </xf>
    <xf borderId="26" fillId="0" fontId="4" numFmtId="0" xfId="0" applyBorder="1" applyFont="1"/>
    <xf borderId="27" fillId="0" fontId="1" numFmtId="0" xfId="0" applyAlignment="1" applyBorder="1" applyFont="1">
      <alignment horizontal="center" readingOrder="0"/>
    </xf>
    <xf borderId="27" fillId="0" fontId="1" numFmtId="0" xfId="0" applyAlignment="1" applyBorder="1" applyFont="1">
      <alignment horizontal="center"/>
    </xf>
    <xf borderId="28" fillId="0" fontId="1" numFmtId="0" xfId="0" applyAlignment="1" applyBorder="1" applyFont="1">
      <alignment horizontal="center"/>
    </xf>
    <xf borderId="29" fillId="0" fontId="11" numFmtId="0" xfId="0" applyAlignment="1" applyBorder="1" applyFont="1">
      <alignment horizontal="left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/>
    </xf>
    <xf borderId="30" fillId="0" fontId="11" numFmtId="0" xfId="0" applyAlignment="1" applyBorder="1" applyFont="1">
      <alignment horizontal="left"/>
    </xf>
    <xf borderId="31" fillId="0" fontId="4" numFmtId="0" xfId="0" applyBorder="1" applyFont="1"/>
    <xf borderId="32" fillId="0" fontId="1" numFmtId="0" xfId="0" applyAlignment="1" applyBorder="1" applyFont="1">
      <alignment horizontal="center"/>
    </xf>
    <xf borderId="32" fillId="0" fontId="1" numFmtId="0" xfId="0" applyAlignment="1" applyBorder="1" applyFont="1">
      <alignment horizontal="center" readingOrder="0"/>
    </xf>
    <xf borderId="33" fillId="0" fontId="1" numFmtId="0" xfId="0" applyAlignment="1" applyBorder="1" applyFont="1">
      <alignment horizontal="center" readingOrder="0"/>
    </xf>
    <xf borderId="1" fillId="0" fontId="12" numFmtId="0" xfId="0" applyBorder="1" applyFont="1"/>
    <xf borderId="1" fillId="0" fontId="12" numFmtId="0" xfId="0" applyAlignment="1" applyBorder="1" applyFont="1">
      <alignment horizontal="center"/>
    </xf>
    <xf borderId="0" fillId="0" fontId="12" numFmtId="0" xfId="0" applyAlignment="1" applyFont="1">
      <alignment horizontal="center"/>
    </xf>
    <xf borderId="1" fillId="2" fontId="1" numFmtId="0" xfId="0" applyBorder="1" applyFont="1"/>
    <xf borderId="1" fillId="0" fontId="1" numFmtId="10" xfId="0" applyAlignment="1" applyBorder="1" applyFont="1" applyNumberFormat="1">
      <alignment horizontal="center" shrinkToFit="0" wrapText="1"/>
    </xf>
    <xf borderId="0" fillId="0" fontId="1" numFmtId="10" xfId="0" applyAlignment="1" applyFont="1" applyNumberFormat="1">
      <alignment horizontal="center" shrinkToFit="0" wrapText="1"/>
    </xf>
    <xf borderId="5" fillId="2" fontId="1" numFmtId="2" xfId="0" applyBorder="1" applyFont="1" applyNumberFormat="1"/>
    <xf borderId="34" fillId="2" fontId="1" numFmtId="0" xfId="0" applyBorder="1" applyFont="1"/>
    <xf borderId="35" fillId="0" fontId="1" numFmtId="10" xfId="0" applyAlignment="1" applyBorder="1" applyFont="1" applyNumberFormat="1">
      <alignment horizontal="center" shrinkToFit="0" wrapText="1"/>
    </xf>
    <xf borderId="36" fillId="2" fontId="12" numFmtId="0" xfId="0" applyBorder="1" applyFont="1"/>
    <xf borderId="37" fillId="2" fontId="1" numFmtId="10" xfId="0" applyAlignment="1" applyBorder="1" applyFont="1" applyNumberFormat="1">
      <alignment horizontal="center" shrinkToFit="0" wrapText="1"/>
    </xf>
    <xf borderId="5" fillId="2" fontId="1" numFmtId="10" xfId="0" applyAlignment="1" applyBorder="1" applyFont="1" applyNumberFormat="1">
      <alignment horizontal="center" shrinkToFit="0" wrapText="1"/>
    </xf>
    <xf borderId="38" fillId="2" fontId="13" numFmtId="10" xfId="0" applyAlignment="1" applyBorder="1" applyFont="1" applyNumberFormat="1">
      <alignment horizontal="center" shrinkToFit="0" wrapText="1"/>
    </xf>
    <xf borderId="39" fillId="0" fontId="12" numFmtId="0" xfId="0" applyAlignment="1" applyBorder="1" applyFont="1">
      <alignment vertical="center"/>
    </xf>
    <xf borderId="40" fillId="0" fontId="12" numFmtId="0" xfId="0" applyAlignment="1" applyBorder="1" applyFont="1">
      <alignment horizontal="center" vertical="center"/>
    </xf>
    <xf borderId="5" fillId="2" fontId="12" numFmtId="0" xfId="0" applyBorder="1" applyFont="1"/>
    <xf borderId="6" fillId="0" fontId="12" numFmtId="0" xfId="0" applyBorder="1" applyFont="1"/>
    <xf borderId="41" fillId="0" fontId="1" numFmtId="10" xfId="0" applyAlignment="1" applyBorder="1" applyFont="1" applyNumberFormat="1">
      <alignment horizontal="center" shrinkToFit="0" vertical="center" wrapText="1"/>
    </xf>
    <xf borderId="42" fillId="0" fontId="4" numFmtId="0" xfId="0" applyBorder="1" applyFont="1"/>
    <xf borderId="43" fillId="2" fontId="1" numFmtId="10" xfId="0" applyAlignment="1" applyBorder="1" applyFont="1" applyNumberFormat="1">
      <alignment shrinkToFit="0" wrapText="1"/>
    </xf>
    <xf borderId="44" fillId="2" fontId="1" numFmtId="10" xfId="0" applyAlignment="1" applyBorder="1" applyFont="1" applyNumberFormat="1">
      <alignment shrinkToFit="0" wrapText="1"/>
    </xf>
    <xf borderId="44" fillId="6" fontId="1" numFmtId="10" xfId="0" applyAlignment="1" applyBorder="1" applyFill="1" applyFont="1" applyNumberFormat="1">
      <alignment shrinkToFit="0" vertical="center" wrapText="1"/>
    </xf>
    <xf borderId="9" fillId="0" fontId="12" numFmtId="0" xfId="0" applyBorder="1" applyFont="1"/>
    <xf borderId="45" fillId="0" fontId="1" numFmtId="10" xfId="0" applyAlignment="1" applyBorder="1" applyFont="1" applyNumberFormat="1">
      <alignment horizontal="center" shrinkToFit="0" vertical="center" wrapText="1"/>
    </xf>
    <xf borderId="46" fillId="0" fontId="4" numFmtId="0" xfId="0" applyBorder="1" applyFont="1"/>
    <xf borderId="47" fillId="0" fontId="4" numFmtId="0" xfId="0" applyBorder="1" applyFont="1"/>
    <xf borderId="7" fillId="0" fontId="1" numFmtId="10" xfId="0" applyAlignment="1" applyBorder="1" applyFont="1" applyNumberFormat="1">
      <alignment horizontal="center" shrinkToFit="0" vertical="center" wrapText="1"/>
    </xf>
    <xf borderId="11" fillId="0" fontId="12" numFmtId="0" xfId="0" applyBorder="1" applyFont="1"/>
    <xf borderId="12" fillId="0" fontId="1" numFmtId="10" xfId="0" applyAlignment="1" applyBorder="1" applyFont="1" applyNumberFormat="1">
      <alignment horizontal="center" shrinkToFit="0" vertical="center" wrapText="1"/>
    </xf>
    <xf borderId="48" fillId="0" fontId="4" numFmtId="0" xfId="0" applyBorder="1" applyFont="1"/>
  </cellXfs>
  <cellStyles count="1">
    <cellStyle xfId="0" name="Normal" builtinId="0"/>
  </cellStyles>
  <dxfs count="3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ABF8F"/>
          <bgColor rgb="FFFABF8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6588579795021993"/>
          <c:y val="0.18481907751610768"/>
          <c:w val="0.9004392386530038"/>
          <c:h val="0.5511568918783902"/>
        </c:manualLayout>
      </c:layout>
      <c:barChart>
        <c:barDir val="col"/>
        <c:ser>
          <c:idx val="0"/>
          <c:order val="0"/>
          <c:tx>
            <c:v>Concepto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'Test Cualidades'!$A$40:$A$46</c:f>
            </c:strRef>
          </c:cat>
          <c:val>
            <c:numRef>
              <c:f>'Test Cualidades'!$B$40:$B$46</c:f>
              <c:numCache/>
            </c:numRef>
          </c:val>
        </c:ser>
        <c:axId val="1444474121"/>
        <c:axId val="1585066736"/>
      </c:barChart>
      <c:catAx>
        <c:axId val="14444741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585066736"/>
      </c:catAx>
      <c:valAx>
        <c:axId val="1585066736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444474121"/>
      </c:valAx>
    </c:plotArea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37</xdr:row>
      <xdr:rowOff>85725</xdr:rowOff>
    </xdr:from>
    <xdr:ext cx="11334750" cy="36957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29"/>
    <col customWidth="1" min="2" max="2" width="30.14"/>
    <col customWidth="1" min="3" max="3" width="35.86"/>
    <col customWidth="1" min="4" max="4" width="29.43"/>
    <col customWidth="1" min="5" max="26" width="11.43"/>
  </cols>
  <sheetData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1" t="s">
        <v>4</v>
      </c>
      <c r="B3" s="2" t="s">
        <v>5</v>
      </c>
      <c r="C3" s="2" t="s">
        <v>6</v>
      </c>
      <c r="D3" s="2" t="s">
        <v>7</v>
      </c>
    </row>
    <row r="4">
      <c r="A4" s="1" t="s">
        <v>8</v>
      </c>
      <c r="B4" s="2" t="s">
        <v>9</v>
      </c>
      <c r="C4" s="2" t="s">
        <v>10</v>
      </c>
      <c r="D4" s="2" t="s">
        <v>11</v>
      </c>
    </row>
    <row r="5">
      <c r="A5" s="1" t="s">
        <v>12</v>
      </c>
      <c r="B5" s="2" t="s">
        <v>13</v>
      </c>
      <c r="C5" s="2" t="s">
        <v>14</v>
      </c>
      <c r="D5" s="2" t="s">
        <v>15</v>
      </c>
    </row>
    <row r="6">
      <c r="A6" s="3" t="s">
        <v>16</v>
      </c>
      <c r="B6" s="2" t="s">
        <v>17</v>
      </c>
      <c r="C6" s="2" t="s">
        <v>18</v>
      </c>
      <c r="D6" s="2" t="s">
        <v>19</v>
      </c>
    </row>
    <row r="7">
      <c r="A7" s="1" t="s">
        <v>20</v>
      </c>
      <c r="B7" s="2" t="s">
        <v>5</v>
      </c>
      <c r="C7" s="2" t="s">
        <v>21</v>
      </c>
      <c r="D7" s="2" t="s">
        <v>22</v>
      </c>
    </row>
    <row r="8">
      <c r="A8" s="1" t="s">
        <v>23</v>
      </c>
      <c r="B8" s="2" t="s">
        <v>24</v>
      </c>
      <c r="C8" s="2" t="s">
        <v>25</v>
      </c>
      <c r="D8" s="2" t="s">
        <v>26</v>
      </c>
    </row>
    <row r="9">
      <c r="A9" s="1" t="s">
        <v>27</v>
      </c>
      <c r="B9" s="2" t="s">
        <v>28</v>
      </c>
      <c r="C9" s="2" t="s">
        <v>29</v>
      </c>
      <c r="D9" s="2" t="s">
        <v>30</v>
      </c>
    </row>
    <row r="10">
      <c r="A10" s="1"/>
      <c r="B10" s="2"/>
      <c r="C10" s="2"/>
      <c r="D10" s="2"/>
    </row>
    <row r="11">
      <c r="A11" s="1" t="s">
        <v>31</v>
      </c>
      <c r="B11" s="2" t="s">
        <v>32</v>
      </c>
      <c r="C11" s="2" t="s">
        <v>33</v>
      </c>
      <c r="D11" s="2" t="s">
        <v>34</v>
      </c>
    </row>
    <row r="19">
      <c r="A19" s="4" t="s">
        <v>35</v>
      </c>
    </row>
    <row r="20">
      <c r="A20" s="4" t="s">
        <v>36</v>
      </c>
    </row>
    <row r="21" ht="15.75" customHeight="1">
      <c r="A21" s="4" t="s">
        <v>37</v>
      </c>
    </row>
    <row r="22" ht="15.75" customHeight="1">
      <c r="A22" s="4" t="s">
        <v>38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0.29"/>
    <col customWidth="1" min="2" max="2" width="11.57"/>
    <col customWidth="1" min="3" max="3" width="59.14"/>
    <col customWidth="1" min="4" max="26" width="11.57"/>
  </cols>
  <sheetData>
    <row r="1">
      <c r="A1" s="5" t="s">
        <v>39</v>
      </c>
      <c r="B1" s="6" t="s">
        <v>40</v>
      </c>
      <c r="C1" s="7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 t="s">
        <v>41</v>
      </c>
      <c r="B2" s="10" t="s">
        <v>42</v>
      </c>
      <c r="C2" s="11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2" t="s">
        <v>43</v>
      </c>
      <c r="B3" s="13" t="s">
        <v>44</v>
      </c>
      <c r="C3" s="11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2" t="s">
        <v>45</v>
      </c>
      <c r="B4" s="13">
        <v>3413988.0</v>
      </c>
      <c r="C4" s="11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2" t="s">
        <v>46</v>
      </c>
      <c r="B5" s="13" t="s">
        <v>47</v>
      </c>
      <c r="C5" s="11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2" t="s">
        <v>48</v>
      </c>
      <c r="B6" s="14" t="s">
        <v>35</v>
      </c>
      <c r="C6" s="15">
        <v>1.075795667E9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2" t="s">
        <v>49</v>
      </c>
      <c r="B7" s="16">
        <v>46144.0</v>
      </c>
      <c r="C7" s="11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7" t="s">
        <v>50</v>
      </c>
      <c r="B8" s="18" t="s">
        <v>51</v>
      </c>
      <c r="C8" s="19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12">
      <c r="A12" s="20" t="s">
        <v>52</v>
      </c>
    </row>
    <row r="14" ht="51.0" customHeight="1">
      <c r="A14" s="21" t="s">
        <v>53</v>
      </c>
      <c r="B14" s="22"/>
      <c r="C14" s="23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51.0" customHeight="1">
      <c r="A15" s="21" t="s">
        <v>54</v>
      </c>
      <c r="B15" s="22"/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25"/>
    </row>
    <row r="17">
      <c r="A17" s="25"/>
    </row>
    <row r="18">
      <c r="A18" s="25"/>
    </row>
    <row r="19">
      <c r="A19" s="25"/>
    </row>
    <row r="20">
      <c r="A20" s="26"/>
      <c r="B20" s="26"/>
      <c r="C20" s="2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2:C12"/>
    <mergeCell ref="A14:C14"/>
    <mergeCell ref="A15:C15"/>
    <mergeCell ref="A16:C16"/>
    <mergeCell ref="A17:C17"/>
    <mergeCell ref="A18:C18"/>
    <mergeCell ref="A19:C19"/>
    <mergeCell ref="B1:C1"/>
    <mergeCell ref="B2:C2"/>
    <mergeCell ref="B3:C3"/>
    <mergeCell ref="B4:C4"/>
    <mergeCell ref="B5:C5"/>
    <mergeCell ref="B7:C7"/>
    <mergeCell ref="B8:C8"/>
  </mergeCells>
  <dataValidations>
    <dataValidation type="list" allowBlank="1" showErrorMessage="1" sqref="B6">
      <formula1>CONCEPTOS!$A$19:$A$22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1.0"/>
    <col customWidth="1" min="2" max="2" width="81.29"/>
    <col customWidth="1" min="3" max="3" width="11.86"/>
    <col customWidth="1" min="4" max="4" width="14.29"/>
    <col customWidth="1" hidden="1" min="5" max="5" width="5.86"/>
    <col customWidth="1" min="6" max="6" width="0.14"/>
    <col customWidth="1" hidden="1" min="7" max="7" width="11.86"/>
    <col customWidth="1" min="8" max="8" width="16.71"/>
    <col customWidth="1" hidden="1" min="9" max="9" width="0.57"/>
    <col customWidth="1" min="10" max="10" width="0.43"/>
    <col customWidth="1" hidden="1" min="11" max="11" width="67.71"/>
    <col customWidth="1" min="12" max="26" width="11.43"/>
  </cols>
  <sheetData>
    <row r="1">
      <c r="A1" s="27" t="str">
        <f>+#REF!</f>
        <v>#REF!</v>
      </c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29" t="s">
        <v>55</v>
      </c>
      <c r="B3" s="30"/>
      <c r="C3" s="30"/>
      <c r="D3" s="30"/>
      <c r="E3" s="30"/>
      <c r="F3" s="30"/>
      <c r="G3" s="30"/>
      <c r="H3" s="30"/>
      <c r="I3" s="31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32" t="s">
        <v>56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33" t="s">
        <v>57</v>
      </c>
      <c r="B6" s="34"/>
      <c r="C6" s="34"/>
      <c r="D6" s="34"/>
      <c r="E6" s="34"/>
      <c r="F6" s="34"/>
      <c r="G6" s="34"/>
      <c r="H6" s="35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18.75" customHeight="1">
      <c r="A8" s="36" t="s">
        <v>58</v>
      </c>
      <c r="B8" s="30"/>
      <c r="C8" s="30"/>
      <c r="D8" s="30"/>
      <c r="E8" s="30"/>
      <c r="F8" s="30"/>
      <c r="G8" s="30"/>
      <c r="H8" s="31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37" t="s">
        <v>59</v>
      </c>
      <c r="B9" s="38"/>
      <c r="C9" s="39" t="s">
        <v>60</v>
      </c>
      <c r="D9" s="39" t="s">
        <v>61</v>
      </c>
      <c r="E9" s="39"/>
      <c r="F9" s="39"/>
      <c r="G9" s="39"/>
      <c r="H9" s="40" t="s">
        <v>62</v>
      </c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41" t="s">
        <v>63</v>
      </c>
      <c r="B10" s="42"/>
      <c r="C10" s="43" t="s">
        <v>64</v>
      </c>
      <c r="D10" s="43"/>
      <c r="E10" s="44"/>
      <c r="F10" s="44"/>
      <c r="G10" s="44"/>
      <c r="H10" s="45"/>
      <c r="I10" s="28">
        <f t="shared" ref="I10:I11" si="1">IF(C10="x",1,IF(D10="x",2,IF(H10="x",0,-1)))</f>
        <v>1</v>
      </c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46" t="s">
        <v>65</v>
      </c>
      <c r="B11" s="23"/>
      <c r="C11" s="47"/>
      <c r="D11" s="48"/>
      <c r="E11" s="47"/>
      <c r="F11" s="47"/>
      <c r="G11" s="47"/>
      <c r="H11" s="49" t="s">
        <v>64</v>
      </c>
      <c r="I11" s="28">
        <f t="shared" si="1"/>
        <v>0</v>
      </c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46" t="s">
        <v>66</v>
      </c>
      <c r="B12" s="23"/>
      <c r="C12" s="47"/>
      <c r="D12" s="48" t="s">
        <v>64</v>
      </c>
      <c r="E12" s="47"/>
      <c r="F12" s="47"/>
      <c r="G12" s="47"/>
      <c r="H12" s="50"/>
      <c r="I12" s="28">
        <f t="shared" ref="I12:I15" si="2">IF(C12="x",1,IF(D12="x",0,IF(H12="x",2,-1)))</f>
        <v>0</v>
      </c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46" t="s">
        <v>67</v>
      </c>
      <c r="B13" s="23"/>
      <c r="C13" s="48"/>
      <c r="D13" s="48"/>
      <c r="E13" s="47"/>
      <c r="F13" s="47"/>
      <c r="G13" s="47"/>
      <c r="H13" s="49" t="s">
        <v>64</v>
      </c>
      <c r="I13" s="28">
        <f t="shared" si="2"/>
        <v>2</v>
      </c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46" t="s">
        <v>68</v>
      </c>
      <c r="B14" s="23"/>
      <c r="C14" s="48"/>
      <c r="D14" s="47"/>
      <c r="E14" s="47"/>
      <c r="F14" s="48" t="s">
        <v>64</v>
      </c>
      <c r="G14" s="47"/>
      <c r="H14" s="49" t="s">
        <v>64</v>
      </c>
      <c r="I14" s="28">
        <f t="shared" si="2"/>
        <v>2</v>
      </c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46" t="s">
        <v>69</v>
      </c>
      <c r="B15" s="23"/>
      <c r="C15" s="47"/>
      <c r="D15" s="47"/>
      <c r="E15" s="47"/>
      <c r="F15" s="47"/>
      <c r="G15" s="47"/>
      <c r="H15" s="49" t="s">
        <v>64</v>
      </c>
      <c r="I15" s="28">
        <f t="shared" si="2"/>
        <v>2</v>
      </c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46" t="s">
        <v>70</v>
      </c>
      <c r="B16" s="23"/>
      <c r="C16" s="47"/>
      <c r="D16" s="48" t="s">
        <v>64</v>
      </c>
      <c r="E16" s="47"/>
      <c r="F16" s="47"/>
      <c r="G16" s="47"/>
      <c r="H16" s="50"/>
      <c r="I16" s="28">
        <f t="shared" ref="I16:I17" si="3">IF(C16="x",1,IF(D16="x",2,IF(H16="x",0,-1)))</f>
        <v>2</v>
      </c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46" t="s">
        <v>71</v>
      </c>
      <c r="B17" s="23"/>
      <c r="C17" s="48" t="s">
        <v>64</v>
      </c>
      <c r="D17" s="48"/>
      <c r="E17" s="47"/>
      <c r="F17" s="47"/>
      <c r="G17" s="47"/>
      <c r="H17" s="50"/>
      <c r="I17" s="28">
        <f t="shared" si="3"/>
        <v>1</v>
      </c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46" t="s">
        <v>72</v>
      </c>
      <c r="B18" s="23"/>
      <c r="C18" s="47"/>
      <c r="D18" s="48" t="s">
        <v>64</v>
      </c>
      <c r="E18" s="47"/>
      <c r="F18" s="47"/>
      <c r="G18" s="47"/>
      <c r="H18" s="50"/>
      <c r="I18" s="28">
        <f>IF(C18="x",1,IF(D18="x",0,IF(H18="x",2,-1)))</f>
        <v>0</v>
      </c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46" t="s">
        <v>73</v>
      </c>
      <c r="B19" s="23"/>
      <c r="C19" s="48" t="s">
        <v>64</v>
      </c>
      <c r="D19" s="47"/>
      <c r="E19" s="47"/>
      <c r="F19" s="47"/>
      <c r="G19" s="47"/>
      <c r="H19" s="50"/>
      <c r="I19" s="28">
        <f>IF(C19="x",1,IF(D19="x",2,IF(H19="x",0,-1)))</f>
        <v>1</v>
      </c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46" t="s">
        <v>74</v>
      </c>
      <c r="B20" s="23"/>
      <c r="C20" s="47"/>
      <c r="D20" s="48" t="s">
        <v>64</v>
      </c>
      <c r="E20" s="47"/>
      <c r="F20" s="47"/>
      <c r="G20" s="47"/>
      <c r="H20" s="50"/>
      <c r="I20" s="28">
        <f t="shared" ref="I20:I21" si="4">IF(C20="x",1,IF(D20="x",0,IF(H20="x",2,-1)))</f>
        <v>0</v>
      </c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46" t="s">
        <v>75</v>
      </c>
      <c r="B21" s="23"/>
      <c r="C21" s="48" t="s">
        <v>64</v>
      </c>
      <c r="D21" s="47"/>
      <c r="E21" s="47"/>
      <c r="F21" s="47"/>
      <c r="G21" s="47"/>
      <c r="H21" s="50"/>
      <c r="I21" s="28">
        <f t="shared" si="4"/>
        <v>1</v>
      </c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46" t="s">
        <v>76</v>
      </c>
      <c r="B22" s="23"/>
      <c r="C22" s="47"/>
      <c r="D22" s="48" t="s">
        <v>64</v>
      </c>
      <c r="E22" s="47"/>
      <c r="F22" s="47"/>
      <c r="G22" s="47"/>
      <c r="H22" s="50"/>
      <c r="I22" s="28">
        <f>IF(C22="x",1,IF(D22="x",2,IF(H22="x",0,-1)))</f>
        <v>2</v>
      </c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46" t="s">
        <v>77</v>
      </c>
      <c r="B23" s="23"/>
      <c r="C23" s="47"/>
      <c r="D23" s="48" t="s">
        <v>64</v>
      </c>
      <c r="E23" s="47"/>
      <c r="F23" s="47"/>
      <c r="G23" s="47"/>
      <c r="H23" s="50"/>
      <c r="I23" s="28">
        <f t="shared" ref="I23:I24" si="5">IF(C23="x",1,IF(D23="x",0,IF(H23="x",2,-1)))</f>
        <v>0</v>
      </c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46" t="s">
        <v>78</v>
      </c>
      <c r="B24" s="23"/>
      <c r="C24" s="47"/>
      <c r="D24" s="47"/>
      <c r="E24" s="47"/>
      <c r="F24" s="48" t="s">
        <v>64</v>
      </c>
      <c r="G24" s="47"/>
      <c r="H24" s="49" t="s">
        <v>64</v>
      </c>
      <c r="I24" s="28">
        <f t="shared" si="5"/>
        <v>2</v>
      </c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46" t="s">
        <v>79</v>
      </c>
      <c r="B25" s="23"/>
      <c r="C25" s="48" t="s">
        <v>64</v>
      </c>
      <c r="D25" s="47"/>
      <c r="E25" s="47"/>
      <c r="F25" s="47"/>
      <c r="G25" s="47"/>
      <c r="H25" s="50"/>
      <c r="I25" s="28">
        <f>IF(C25="x",1,IF(D25="x",2,IF(H25="x",0,-1)))</f>
        <v>1</v>
      </c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46" t="s">
        <v>80</v>
      </c>
      <c r="B26" s="23"/>
      <c r="C26" s="47"/>
      <c r="D26" s="47"/>
      <c r="E26" s="47"/>
      <c r="F26" s="47"/>
      <c r="G26" s="47"/>
      <c r="H26" s="49" t="s">
        <v>64</v>
      </c>
      <c r="I26" s="28">
        <f>IF(C26="x",1,IF(D26="x",0,IF(H26="x",2,-1)))</f>
        <v>2</v>
      </c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46" t="s">
        <v>81</v>
      </c>
      <c r="B27" s="23"/>
      <c r="C27" s="47"/>
      <c r="D27" s="48" t="s">
        <v>64</v>
      </c>
      <c r="E27" s="47"/>
      <c r="F27" s="47"/>
      <c r="G27" s="47"/>
      <c r="H27" s="50"/>
      <c r="I27" s="28">
        <f>IF(C27="x",1,IF(D27="x",2,IF(H27="x",0,-1)))</f>
        <v>2</v>
      </c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46" t="s">
        <v>82</v>
      </c>
      <c r="B28" s="23"/>
      <c r="C28" s="47"/>
      <c r="D28" s="48" t="s">
        <v>64</v>
      </c>
      <c r="E28" s="47"/>
      <c r="F28" s="47"/>
      <c r="G28" s="47"/>
      <c r="H28" s="50"/>
      <c r="I28" s="28">
        <f t="shared" ref="I28:I30" si="6">IF(C28="x",1,IF(D28="x",0,IF(H28="x",2,-1)))</f>
        <v>0</v>
      </c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46" t="s">
        <v>83</v>
      </c>
      <c r="B29" s="23"/>
      <c r="C29" s="47"/>
      <c r="D29" s="47"/>
      <c r="E29" s="47"/>
      <c r="F29" s="48" t="s">
        <v>64</v>
      </c>
      <c r="G29" s="47"/>
      <c r="H29" s="49" t="s">
        <v>64</v>
      </c>
      <c r="I29" s="28">
        <f t="shared" si="6"/>
        <v>2</v>
      </c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A30" s="46" t="s">
        <v>84</v>
      </c>
      <c r="B30" s="23"/>
      <c r="C30" s="47"/>
      <c r="D30" s="48" t="s">
        <v>64</v>
      </c>
      <c r="E30" s="47"/>
      <c r="F30" s="47"/>
      <c r="G30" s="47"/>
      <c r="H30" s="50"/>
      <c r="I30" s="28">
        <f t="shared" si="6"/>
        <v>0</v>
      </c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A31" s="46" t="s">
        <v>85</v>
      </c>
      <c r="B31" s="23"/>
      <c r="C31" s="48" t="s">
        <v>64</v>
      </c>
      <c r="D31" s="47"/>
      <c r="E31" s="47"/>
      <c r="F31" s="47"/>
      <c r="G31" s="47"/>
      <c r="H31" s="50"/>
      <c r="I31" s="28">
        <f>IF(C31="x",1,IF(D31="x",2,IF(H31="x",0,-1)))</f>
        <v>1</v>
      </c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46" t="s">
        <v>86</v>
      </c>
      <c r="B32" s="23"/>
      <c r="C32" s="48" t="s">
        <v>64</v>
      </c>
      <c r="D32" s="47"/>
      <c r="E32" s="47"/>
      <c r="F32" s="47"/>
      <c r="G32" s="47"/>
      <c r="H32" s="50"/>
      <c r="I32" s="28">
        <f>IF(C32="x",1,IF(D32="x",0,IF(H32="x",2,-1)))</f>
        <v>1</v>
      </c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46" t="s">
        <v>87</v>
      </c>
      <c r="B33" s="23"/>
      <c r="C33" s="47"/>
      <c r="D33" s="48" t="s">
        <v>64</v>
      </c>
      <c r="E33" s="47"/>
      <c r="F33" s="47"/>
      <c r="G33" s="47"/>
      <c r="H33" s="50"/>
      <c r="I33" s="28">
        <f t="shared" ref="I33:I35" si="7">IF(C33="x",1,IF(D33="x",2,IF(H33="x",0,-1)))</f>
        <v>2</v>
      </c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46" t="s">
        <v>88</v>
      </c>
      <c r="B34" s="23"/>
      <c r="C34" s="47"/>
      <c r="D34" s="48" t="s">
        <v>64</v>
      </c>
      <c r="E34" s="47"/>
      <c r="F34" s="47"/>
      <c r="G34" s="47"/>
      <c r="H34" s="50"/>
      <c r="I34" s="28">
        <f t="shared" si="7"/>
        <v>2</v>
      </c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46" t="s">
        <v>89</v>
      </c>
      <c r="B35" s="23"/>
      <c r="C35" s="47"/>
      <c r="D35" s="48" t="s">
        <v>64</v>
      </c>
      <c r="E35" s="47"/>
      <c r="F35" s="47"/>
      <c r="G35" s="47"/>
      <c r="H35" s="50"/>
      <c r="I35" s="28">
        <f t="shared" si="7"/>
        <v>2</v>
      </c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46" t="s">
        <v>90</v>
      </c>
      <c r="B36" s="23"/>
      <c r="C36" s="47"/>
      <c r="D36" s="47"/>
      <c r="E36" s="47"/>
      <c r="F36" s="48" t="s">
        <v>64</v>
      </c>
      <c r="G36" s="47"/>
      <c r="H36" s="49" t="s">
        <v>64</v>
      </c>
      <c r="I36" s="28">
        <f>IF(C36="x",1,IF(D36="x",0,IF(H36="x",2,-1)))</f>
        <v>2</v>
      </c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51" t="s">
        <v>91</v>
      </c>
      <c r="B37" s="52"/>
      <c r="C37" s="47"/>
      <c r="D37" s="53"/>
      <c r="E37" s="53"/>
      <c r="F37" s="54" t="s">
        <v>64</v>
      </c>
      <c r="G37" s="53"/>
      <c r="H37" s="55" t="s">
        <v>64</v>
      </c>
      <c r="I37" s="28">
        <f>IF(C37="x",1,IF(D37="x",2,IF(H37="x",0,-1)))</f>
        <v>0</v>
      </c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67.5" customHeight="1"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56" t="s">
        <v>92</v>
      </c>
      <c r="B39" s="57" t="s">
        <v>93</v>
      </c>
      <c r="C39" s="58"/>
      <c r="D39" s="58"/>
      <c r="E39" s="58"/>
      <c r="F39" s="58"/>
      <c r="G39" s="58"/>
      <c r="H39" s="28"/>
      <c r="I39" s="59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30.0" customHeight="1">
      <c r="A40" s="56" t="s">
        <v>94</v>
      </c>
      <c r="B40" s="60">
        <f>IF(I40&gt;0,(I40/8),0)</f>
        <v>0.25</v>
      </c>
      <c r="C40" s="61"/>
      <c r="D40" s="61"/>
      <c r="E40" s="61"/>
      <c r="F40" s="61"/>
      <c r="G40" s="61"/>
      <c r="H40" s="28"/>
      <c r="I40" s="59">
        <f>I12+I20+I30+I35</f>
        <v>2</v>
      </c>
      <c r="J40" s="62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30.0" customHeight="1">
      <c r="A41" s="56" t="s">
        <v>95</v>
      </c>
      <c r="B41" s="60">
        <f>IF(I41&gt;0,I41/6,0)</f>
        <v>0.6666666667</v>
      </c>
      <c r="C41" s="61"/>
      <c r="D41" s="61"/>
      <c r="E41" s="61"/>
      <c r="F41" s="61"/>
      <c r="G41" s="61"/>
      <c r="H41" s="28"/>
      <c r="I41" s="59">
        <f>I14+I26+I37</f>
        <v>4</v>
      </c>
      <c r="J41" s="62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30.0" customHeight="1">
      <c r="A42" s="56" t="s">
        <v>96</v>
      </c>
      <c r="B42" s="60">
        <f t="shared" ref="B42:B43" si="8">IF(I42&gt;0,I42/8,0)</f>
        <v>0.625</v>
      </c>
      <c r="C42" s="61"/>
      <c r="D42" s="61"/>
      <c r="E42" s="61"/>
      <c r="F42" s="61"/>
      <c r="G42" s="61"/>
      <c r="H42" s="28"/>
      <c r="I42" s="59">
        <f>I15+I22+I23+I31</f>
        <v>5</v>
      </c>
      <c r="J42" s="62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30.0" customHeight="1">
      <c r="A43" s="56" t="s">
        <v>97</v>
      </c>
      <c r="B43" s="60">
        <f t="shared" si="8"/>
        <v>0.5</v>
      </c>
      <c r="C43" s="61"/>
      <c r="D43" s="61"/>
      <c r="E43" s="61"/>
      <c r="F43" s="61"/>
      <c r="G43" s="61"/>
      <c r="H43" s="28"/>
      <c r="I43" s="63">
        <f>I10+I13+I17+I28</f>
        <v>4</v>
      </c>
      <c r="J43" s="62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30.0" customHeight="1">
      <c r="A44" s="56" t="s">
        <v>98</v>
      </c>
      <c r="B44" s="60">
        <f>IF(I44&gt;0,I44/10,0)</f>
        <v>0.7</v>
      </c>
      <c r="C44" s="61"/>
      <c r="D44" s="61"/>
      <c r="E44" s="61"/>
      <c r="F44" s="61"/>
      <c r="G44" s="61"/>
      <c r="H44" s="28"/>
      <c r="I44" s="59">
        <f>I19+I25+I27+I32+I36</f>
        <v>7</v>
      </c>
      <c r="J44" s="62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30.0" customHeight="1">
      <c r="A45" s="56" t="s">
        <v>99</v>
      </c>
      <c r="B45" s="60">
        <f>IF(I45&gt;0,I45/6,0)</f>
        <v>0.8333333333</v>
      </c>
      <c r="C45" s="61"/>
      <c r="D45" s="61"/>
      <c r="E45" s="61"/>
      <c r="F45" s="61"/>
      <c r="G45" s="61"/>
      <c r="H45" s="28"/>
      <c r="I45" s="59">
        <f>I21+I24+I33</f>
        <v>5</v>
      </c>
      <c r="J45" s="62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30.0" customHeight="1">
      <c r="A46" s="56" t="s">
        <v>100</v>
      </c>
      <c r="B46" s="64">
        <f>IF(I46&gt;0,I46/10,0)</f>
        <v>0.6</v>
      </c>
      <c r="C46" s="61"/>
      <c r="D46" s="61"/>
      <c r="E46" s="61"/>
      <c r="F46" s="61"/>
      <c r="G46" s="61"/>
      <c r="H46" s="28"/>
      <c r="I46" s="59">
        <f>I11+I16+I18+I29+I34</f>
        <v>6</v>
      </c>
      <c r="J46" s="62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0" customHeight="1">
      <c r="A47" s="65"/>
      <c r="B47" s="66"/>
      <c r="C47" s="67"/>
      <c r="D47" s="67"/>
      <c r="E47" s="67"/>
      <c r="F47" s="67"/>
      <c r="G47" s="67"/>
      <c r="H47" s="28"/>
      <c r="I47" s="28"/>
      <c r="J47" s="62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hidden="1" customHeight="1">
      <c r="A48" s="65" t="s">
        <v>101</v>
      </c>
      <c r="B48" s="68">
        <f>IF(I48&gt;0,I48/56,0)</f>
        <v>0.5892857143</v>
      </c>
      <c r="C48" s="28"/>
      <c r="D48" s="28"/>
      <c r="E48" s="28"/>
      <c r="F48" s="28"/>
      <c r="G48" s="28"/>
      <c r="H48" s="28"/>
      <c r="I48" s="28">
        <f>SUM(I40:I46)</f>
        <v>33</v>
      </c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0" customHeight="1">
      <c r="A49" s="65"/>
      <c r="B49" s="67"/>
      <c r="C49" s="67"/>
      <c r="D49" s="67"/>
      <c r="E49" s="67"/>
      <c r="F49" s="67"/>
      <c r="G49" s="67"/>
      <c r="H49" s="28"/>
      <c r="I49" s="28"/>
      <c r="J49" s="62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30.0" customHeight="1">
      <c r="A51" s="69" t="s">
        <v>102</v>
      </c>
      <c r="B51" s="70" t="s">
        <v>103</v>
      </c>
      <c r="C51" s="34"/>
      <c r="D51" s="34"/>
      <c r="E51" s="34"/>
      <c r="F51" s="34"/>
      <c r="G51" s="34"/>
      <c r="H51" s="35"/>
      <c r="I51" s="28"/>
      <c r="J51" s="71"/>
      <c r="K51" s="71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57.0" customHeight="1">
      <c r="A52" s="72" t="s">
        <v>94</v>
      </c>
      <c r="B52" s="73" t="str">
        <f t="shared" ref="B52:B59" si="9">CONCATENATE(I52,J52,K52)</f>
        <v>Sería aconsejable una actitud más elevada en este aspecto para así poder aprovechar más oportunidades de negocio</v>
      </c>
      <c r="H52" s="74"/>
      <c r="I52" s="75" t="str">
        <f>IF(B40&gt;0.66, CONCEPTOS!B3,"")</f>
        <v/>
      </c>
      <c r="J52" s="76" t="str">
        <f>IF(AND(B40&lt;=0.66,B40&gt;=0.33), CONCEPTOS!C3,"")</f>
        <v/>
      </c>
      <c r="K52" s="77" t="str">
        <f>IF(B40&lt;0.33, CONCEPTOS!D3,"")</f>
        <v>Sería aconsejable una actitud más elevada en este aspecto para así poder aprovechar más oportunidades de negocio</v>
      </c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57.0" customHeight="1">
      <c r="A53" s="78" t="s">
        <v>95</v>
      </c>
      <c r="B53" s="79" t="str">
        <f t="shared" si="9"/>
        <v>Este aspecto es muy favorable en la consecución de sus objetivos empresariales, no obstante se recomienda cierta prudencia para que esta actitud no reste importancia a las demás</v>
      </c>
      <c r="C53" s="80"/>
      <c r="D53" s="80"/>
      <c r="E53" s="80"/>
      <c r="F53" s="80"/>
      <c r="G53" s="80"/>
      <c r="H53" s="81"/>
      <c r="I53" s="75" t="str">
        <f>IF(B41&gt;0.66, CONCEPTOS!B4,"")</f>
        <v>Este aspecto es muy favorable en la consecución de sus objetivos empresariales, no obstante se recomienda cierta prudencia para que esta actitud no reste importancia a las demás</v>
      </c>
      <c r="J53" s="76" t="str">
        <f>IF(AND(B41&lt;=0.66,B41&gt;=0.33), CONCEPTOS!C4,"")</f>
        <v/>
      </c>
      <c r="K53" s="77" t="str">
        <f>IF(B41&lt;0.33, CONCEPTOS!D4,"")</f>
        <v/>
      </c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57.0" customHeight="1">
      <c r="A54" s="78" t="s">
        <v>96</v>
      </c>
      <c r="B54" s="79" t="str">
        <f t="shared" si="9"/>
        <v>Interpretación del Test: (Rango de 4-6). Cuenta con una confianza en sí mismo y en sus habilidades suficiente para adaptarse a las necesidades del entorno y conseguir los objetivos empresariales marcados. Aún asi busque fortalecer esta competencia</v>
      </c>
      <c r="C54" s="80"/>
      <c r="D54" s="80"/>
      <c r="E54" s="80"/>
      <c r="F54" s="80"/>
      <c r="G54" s="80"/>
      <c r="H54" s="81"/>
      <c r="I54" s="75" t="str">
        <f>IF(B42&gt;0.66, CONCEPTOS!B5,"")</f>
        <v/>
      </c>
      <c r="J54" s="76" t="str">
        <f>IF(AND(B42&lt;=0.66,B42&gt;=0.33), CONCEPTOS!C5,"")</f>
        <v>Interpretación del Test: (Rango de 4-6). Cuenta con una confianza en sí mismo y en sus habilidades suficiente para adaptarse a las necesidades del entorno y conseguir los objetivos empresariales marcados. Aún asi busque fortalecer esta competencia</v>
      </c>
      <c r="K54" s="77" t="str">
        <f>IF(B42&lt;0.33, CONCEPTOS!D5,"")</f>
        <v/>
      </c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57.0" customHeight="1">
      <c r="A55" s="78" t="s">
        <v>97</v>
      </c>
      <c r="B55" s="79" t="str">
        <f t="shared" si="9"/>
        <v>Su competencia en este aspecto parece suficiente para ser competitivos en el mercado empresarial. Aún asi busque fortalecer esta competencia</v>
      </c>
      <c r="C55" s="80"/>
      <c r="D55" s="80"/>
      <c r="E55" s="80"/>
      <c r="F55" s="80"/>
      <c r="G55" s="80"/>
      <c r="H55" s="81"/>
      <c r="I55" s="75" t="str">
        <f>IF(B43&gt;0.66, CONCEPTOS!B6,"")</f>
        <v/>
      </c>
      <c r="J55" s="76" t="str">
        <f>IF(AND(B43&lt;=0.66,B43&gt;=0.33), CONCEPTOS!C6,"")</f>
        <v>Su competencia en este aspecto parece suficiente para ser competitivos en el mercado empresarial. Aún asi busque fortalecer esta competencia</v>
      </c>
      <c r="K55" s="77" t="str">
        <f>IF(B43&lt;0.33, CONCEPTOS!D6,"")</f>
        <v/>
      </c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57.0" customHeight="1">
      <c r="A56" s="78" t="s">
        <v>98</v>
      </c>
      <c r="B56" s="79" t="str">
        <f t="shared" si="9"/>
        <v>Este aspecto es muy favorable en la consecución de sus objetivos empresariales, no obstante se recomienda cierta prudencia para que esta competencia no reste importancia a las demás</v>
      </c>
      <c r="C56" s="80"/>
      <c r="D56" s="80"/>
      <c r="E56" s="80"/>
      <c r="F56" s="80"/>
      <c r="G56" s="80"/>
      <c r="H56" s="81"/>
      <c r="I56" s="75" t="str">
        <f>IF(B44&gt;0.66, CONCEPTOS!B7,"")</f>
        <v>Este aspecto es muy favorable en la consecución de sus objetivos empresariales, no obstante se recomienda cierta prudencia para que esta competencia no reste importancia a las demás</v>
      </c>
      <c r="J56" s="76" t="str">
        <f>IF(AND(B44&lt;=0.66,B44&gt;=0.33), CONCEPTOS!C7,"")</f>
        <v/>
      </c>
      <c r="K56" s="77" t="str">
        <f>IF(B44&lt;0.33, CONCEPTOS!D7,"")</f>
        <v/>
      </c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57.0" customHeight="1">
      <c r="A57" s="78" t="s">
        <v>99</v>
      </c>
      <c r="B57" s="79" t="str">
        <f t="shared" si="9"/>
        <v>Este aspecto es muy favorable en la consecución de sus objetivos empresariales, no obstante se recomienda cierta prudencia para que esta actitud no reste importancia a las demás.</v>
      </c>
      <c r="C57" s="80"/>
      <c r="D57" s="80"/>
      <c r="E57" s="80"/>
      <c r="F57" s="80"/>
      <c r="G57" s="80"/>
      <c r="H57" s="81"/>
      <c r="I57" s="75" t="str">
        <f>IF(B45&gt;0.66, CONCEPTOS!B8,"")</f>
        <v>Este aspecto es muy favorable en la consecución de sus objetivos empresariales, no obstante se recomienda cierta prudencia para que esta actitud no reste importancia a las demás.</v>
      </c>
      <c r="J57" s="76" t="str">
        <f>IF(AND(B45&lt;=0.66,B45&gt;=0.33), CONCEPTOS!C8,"")</f>
        <v/>
      </c>
      <c r="K57" s="77" t="str">
        <f>IF(B45&lt;0.33, CONCEPTOS!D8,"")</f>
        <v/>
      </c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57.0" customHeight="1">
      <c r="A58" s="78" t="s">
        <v>100</v>
      </c>
      <c r="B58" s="82" t="str">
        <f t="shared" si="9"/>
        <v>Cuenta con una actitud favorable hacia el trabajo lo que contribuirá de forma positiva a la consecución de sus metas empresariales</v>
      </c>
      <c r="C58" s="22"/>
      <c r="D58" s="22"/>
      <c r="E58" s="22"/>
      <c r="F58" s="22"/>
      <c r="G58" s="22"/>
      <c r="H58" s="11"/>
      <c r="I58" s="75" t="str">
        <f>IF(B46&gt;0.66, CONCEPTOS!B9,"")</f>
        <v/>
      </c>
      <c r="J58" s="76" t="str">
        <f>IF(AND(B46&lt;=0.66,B46&gt;=0.33), CONCEPTOS!C9,"")</f>
        <v>Cuenta con una actitud favorable hacia el trabajo lo que contribuirá de forma positiva a la consecución de sus metas empresariales</v>
      </c>
      <c r="K58" s="77" t="str">
        <f>IF(B46&lt;0.33, CONCEPTOS!D9,"")</f>
        <v/>
      </c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57.0" customHeight="1">
      <c r="A59" s="83" t="s">
        <v>101</v>
      </c>
      <c r="B59" s="84" t="str">
        <f t="shared" si="9"/>
        <v>Tiene recursos suficientes para poner en marcha su negocio. Busque fortalceer aquellos aspectos en donde se muestra mayor debilidad. Aún asi busque fortalecer esta competencia</v>
      </c>
      <c r="C59" s="85"/>
      <c r="D59" s="85"/>
      <c r="E59" s="85"/>
      <c r="F59" s="85"/>
      <c r="G59" s="85"/>
      <c r="H59" s="19"/>
      <c r="I59" s="75" t="str">
        <f>IF(B48&gt;0.66, CONCEPTOS!B11,"")</f>
        <v/>
      </c>
      <c r="J59" s="76" t="str">
        <f>IF(AND(B48&lt;=0.66,B48&gt;=0.33), CONCEPTOS!C11,"")</f>
        <v>Tiene recursos suficientes para poner en marcha su negocio. Busque fortalceer aquellos aspectos en donde se muestra mayor debilidad. Aún asi busque fortalecer esta competencia</v>
      </c>
      <c r="K59" s="77" t="str">
        <f>IF(B48&lt;0.33, CONCEPTOS!D11,"")</f>
        <v/>
      </c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5.75" customHeight="1"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5.75" customHeight="1"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5.75" customHeight="1"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5.75" customHeight="1"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5.75" customHeight="1"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5.75" customHeight="1"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5.75" customHeight="1"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5.75" customHeight="1"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5.75" customHeight="1"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5.75" customHeight="1"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5.75" customHeight="1"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5.75" customHeight="1"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5.75" customHeight="1"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5.75" customHeight="1"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5.75" customHeight="1"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5.75" customHeight="1"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5.75" customHeight="1"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5.75" customHeight="1"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5.75" customHeight="1"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5.75" customHeight="1"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5.75" customHeight="1"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5.75" customHeight="1"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5.75" customHeight="1"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5.75" customHeight="1"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5.75" customHeight="1"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5.75" customHeight="1"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5.75" customHeight="1"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5.75" customHeight="1"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5.75" customHeight="1"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5.75" customHeight="1"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5.75" customHeight="1"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5.75" customHeight="1"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5.75" customHeight="1"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5.75" customHeight="1"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5.75" customHeight="1"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5.75" customHeight="1"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5.75" customHeight="1"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5.75" customHeight="1"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5.75" customHeight="1"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5.75" customHeight="1"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5.75" customHeight="1"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5.75" customHeight="1"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5.75" customHeight="1"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5.75" customHeight="1"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5.75" customHeight="1"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5.75" customHeight="1"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5.75" customHeight="1"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5.75" customHeight="1"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5.75" customHeight="1"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5.75" customHeight="1"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5.75" customHeight="1"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5.75" customHeight="1"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5.75" customHeight="1"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5.75" customHeight="1"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5.75" customHeight="1"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5.75" customHeight="1"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5.75" customHeight="1"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5.75" customHeight="1"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5.75" customHeight="1"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5.75" customHeight="1"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5.75" customHeight="1"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5.75" customHeight="1"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5.75" customHeight="1"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5.75" customHeight="1"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5.75" customHeight="1"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5.75" customHeight="1"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5.75" customHeight="1"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5.75" customHeight="1"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5.75" customHeight="1"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5.75" customHeight="1"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5.75" customHeight="1"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5.75" customHeight="1"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5.75" customHeight="1"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5.75" customHeight="1"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5.75" customHeight="1"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5.75" customHeight="1"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5.75" customHeight="1"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5.75" customHeight="1"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5.75" customHeight="1"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5.75" customHeight="1"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5.75" customHeight="1"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5.75" customHeight="1"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5.75" customHeight="1"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5.75" customHeight="1"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5.75" customHeight="1"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5.75" customHeight="1"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5.75" customHeight="1"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5.75" customHeight="1"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5.75" customHeight="1"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5.75" customHeight="1"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5.75" customHeight="1"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5.75" customHeight="1"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5.75" customHeight="1"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5.75" customHeight="1"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5.75" customHeight="1"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5.75" customHeight="1"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5.75" customHeight="1"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5.75" customHeight="1"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5.75" customHeight="1"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5.75" customHeight="1"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5.75" customHeight="1"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5.75" customHeight="1"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5.75" customHeight="1"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5.75" customHeight="1"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5.75" customHeight="1"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5.75" customHeight="1"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5.75" customHeight="1"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5.75" customHeight="1"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5.75" customHeight="1"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5.75" customHeight="1"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5.75" customHeight="1"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5.75" customHeight="1"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5.75" customHeight="1"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5.75" customHeight="1"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5.75" customHeight="1"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5.75" customHeight="1"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5.75" customHeight="1"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5.75" customHeight="1"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5.75" customHeight="1"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5.75" customHeight="1"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5.75" customHeight="1"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5.75" customHeight="1"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5.75" customHeight="1"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5.75" customHeight="1"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5.75" customHeight="1"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5.75" customHeight="1"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5.75" customHeight="1"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5.75" customHeight="1"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5.75" customHeight="1"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5.75" customHeight="1"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5.75" customHeight="1"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5.75" customHeight="1"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5.75" customHeight="1"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5.75" customHeight="1"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5.75" customHeight="1"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5.75" customHeight="1"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5.75" customHeight="1"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5.75" customHeight="1"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5.75" customHeight="1"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5.75" customHeight="1"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5.75" customHeight="1"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5.75" customHeight="1"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5.75" customHeight="1"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5.75" customHeight="1"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5.75" customHeight="1"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5.75" customHeight="1"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5.75" customHeight="1"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5.75" customHeight="1"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5.75" customHeight="1"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5.75" customHeight="1"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5.75" customHeight="1"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5.75" customHeight="1"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5.75" customHeight="1"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5.75" customHeight="1"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5.75" customHeight="1"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5.75" customHeight="1"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5.75" customHeight="1"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5.75" customHeight="1"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5.75" customHeight="1"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5.75" customHeight="1"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5.75" customHeight="1"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5.75" customHeight="1"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5.75" customHeight="1"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5.75" customHeight="1"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5.75" customHeight="1"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5.75" customHeight="1"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5.75" customHeight="1"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5.75" customHeight="1"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5.75" customHeight="1"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5.75" customHeight="1"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5.75" customHeight="1"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5.75" customHeight="1"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5.75" customHeight="1"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5.75" customHeight="1"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5.75" customHeight="1"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5.75" customHeight="1"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5.75" customHeight="1"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5.75" customHeight="1"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5.75" customHeight="1"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5.75" customHeight="1"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5.75" customHeight="1"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5.75" customHeight="1"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5.75" customHeight="1"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5.75" customHeight="1"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5.75" customHeight="1"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5.75" customHeight="1"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5.75" customHeight="1"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5.75" customHeight="1"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5.75" customHeight="1"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5.75" customHeight="1"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5.75" customHeight="1"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5.75" customHeight="1"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5.75" customHeight="1"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5.75" customHeight="1"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5.75" customHeight="1"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5.75" customHeight="1"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5.75" customHeight="1"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5.75" customHeight="1"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5.75" customHeight="1"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5.75" customHeight="1"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5.75" customHeight="1"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5.75" customHeight="1"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5.75" customHeight="1"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5.75" customHeight="1"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5.75" customHeight="1"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5.75" customHeight="1"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5.75" customHeight="1"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5.75" customHeight="1"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5.75" customHeight="1"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5.75" customHeight="1"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5.75" customHeight="1"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5.75" customHeight="1"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5.75" customHeight="1"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5.75" customHeight="1"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5.75" customHeight="1"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5.75" customHeight="1"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5.75" customHeight="1"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5.75" customHeight="1"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5.75" customHeight="1"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5.75" customHeight="1"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5.75" customHeight="1"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5.75" customHeight="1"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5.75" customHeight="1"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5.75" customHeight="1"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5.75" customHeight="1"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5.75" customHeight="1"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5.75" customHeight="1"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5.75" customHeight="1"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5.75" customHeight="1"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5.75" customHeight="1"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5.75" customHeight="1"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5.75" customHeight="1"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5.75" customHeight="1"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5.75" customHeight="1"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5.75" customHeight="1"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5.75" customHeight="1"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5.75" customHeight="1"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5.75" customHeight="1"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5.75" customHeight="1"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5.75" customHeight="1"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5.75" customHeight="1"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5.75" customHeight="1"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5.75" customHeight="1"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5.75" customHeight="1"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5.75" customHeight="1"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5.75" customHeight="1"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5.75" customHeight="1"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5.75" customHeight="1"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5.75" customHeight="1"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5.75" customHeight="1"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5.75" customHeight="1"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5.75" customHeight="1"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5.75" customHeight="1"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5.75" customHeight="1"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5.75" customHeight="1"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5.75" customHeight="1"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5.75" customHeight="1"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5.75" customHeight="1"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5.75" customHeight="1"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5.75" customHeight="1"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5.75" customHeight="1"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5.75" customHeight="1"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5.75" customHeight="1"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5.75" customHeight="1"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5.75" customHeight="1"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5.75" customHeight="1"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5.75" customHeight="1"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5.75" customHeight="1"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5.75" customHeight="1"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5.75" customHeight="1"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5.75" customHeight="1"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5.75" customHeight="1"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5.75" customHeight="1"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5.75" customHeight="1"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5.75" customHeight="1"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5.75" customHeight="1"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5.75" customHeight="1"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5.75" customHeight="1"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5.75" customHeight="1"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5.75" customHeight="1"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5.75" customHeight="1"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5.75" customHeight="1"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5.75" customHeight="1"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5.75" customHeight="1"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5.75" customHeight="1"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5.75" customHeight="1"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5.75" customHeight="1"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5.75" customHeight="1"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5.75" customHeight="1"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5.75" customHeight="1"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5.75" customHeight="1"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5.75" customHeight="1"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5.75" customHeight="1"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5.75" customHeight="1"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5.75" customHeight="1"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5.75" customHeight="1"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5.75" customHeight="1"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5.75" customHeight="1"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5.75" customHeight="1"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5.75" customHeight="1"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5.75" customHeight="1"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5.75" customHeight="1"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5.75" customHeight="1"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5.75" customHeight="1"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5.75" customHeight="1"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5.75" customHeight="1"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5.75" customHeight="1"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5.75" customHeight="1"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5.75" customHeight="1"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5.75" customHeight="1"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5.75" customHeight="1"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5.75" customHeight="1"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5.75" customHeight="1"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5.75" customHeight="1"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5.75" customHeight="1"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5.75" customHeight="1"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5.75" customHeight="1"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5.75" customHeight="1"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5.75" customHeight="1"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5.75" customHeight="1"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5.75" customHeight="1"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5.75" customHeight="1"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5.75" customHeight="1"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5.75" customHeight="1"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5.75" customHeight="1"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5.75" customHeight="1"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5.75" customHeight="1"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5.75" customHeight="1"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5.75" customHeight="1"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5.75" customHeight="1"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5.75" customHeight="1"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5.75" customHeight="1"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5.75" customHeight="1"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5.75" customHeight="1"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5.75" customHeight="1"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5.75" customHeight="1"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5.75" customHeight="1"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5.75" customHeight="1"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5.75" customHeight="1"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5.75" customHeight="1"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5.75" customHeight="1"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5.75" customHeight="1"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5.75" customHeight="1"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5.75" customHeight="1"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5.75" customHeight="1"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5.75" customHeight="1"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5.75" customHeight="1"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5.75" customHeight="1"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5.75" customHeight="1"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5.75" customHeight="1"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5.75" customHeight="1"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5.75" customHeight="1"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5.75" customHeight="1"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5.75" customHeight="1"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5.75" customHeight="1"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5.75" customHeight="1"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5.75" customHeight="1"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5.75" customHeight="1"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5.75" customHeight="1"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5.75" customHeight="1"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5.75" customHeight="1"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5.75" customHeight="1"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5.75" customHeight="1"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5.75" customHeight="1"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5.75" customHeight="1"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5.75" customHeight="1"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5.75" customHeight="1"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5.75" customHeight="1"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5.75" customHeight="1"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5.75" customHeight="1"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5.75" customHeight="1"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5.75" customHeight="1"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5.75" customHeight="1"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5.75" customHeight="1"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5.75" customHeight="1"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5.75" customHeight="1"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5.75" customHeight="1"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5.75" customHeight="1"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5.75" customHeight="1"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5.75" customHeight="1"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5.75" customHeight="1"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5.75" customHeight="1"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5.75" customHeight="1"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5.75" customHeight="1"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5.75" customHeight="1"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5.75" customHeight="1"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5.75" customHeight="1"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5.75" customHeight="1"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5.75" customHeight="1"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5.75" customHeight="1"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5.75" customHeight="1"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5.75" customHeight="1"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5.75" customHeight="1"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5.75" customHeight="1"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5.75" customHeight="1"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5.75" customHeight="1"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5.75" customHeight="1"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5.75" customHeight="1"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5.75" customHeight="1"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5.75" customHeight="1"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5.75" customHeight="1"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5.75" customHeight="1"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5.75" customHeight="1"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5.75" customHeight="1"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5.75" customHeight="1"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5.75" customHeight="1"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5.75" customHeight="1"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5.75" customHeight="1"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5.75" customHeight="1"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5.75" customHeight="1"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5.75" customHeight="1"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5.75" customHeight="1"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5.75" customHeight="1"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5.75" customHeight="1"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5.75" customHeight="1"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5.75" customHeight="1"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5.75" customHeight="1"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5.75" customHeight="1"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5.75" customHeight="1"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5.75" customHeight="1"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5.75" customHeight="1"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5.75" customHeight="1"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5.75" customHeight="1"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5.75" customHeight="1"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5.75" customHeight="1"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5.75" customHeight="1"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5.75" customHeight="1"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5.75" customHeight="1"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5.75" customHeight="1"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5.75" customHeight="1"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5.75" customHeight="1"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5.75" customHeight="1"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5.75" customHeight="1"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5.75" customHeight="1"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5.75" customHeight="1"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5.75" customHeight="1"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5.75" customHeight="1"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5.75" customHeight="1"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5.75" customHeight="1"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5.75" customHeight="1"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5.75" customHeight="1"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5.75" customHeight="1"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5.75" customHeight="1"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5.75" customHeight="1"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5.75" customHeight="1"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5.75" customHeight="1"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5.75" customHeight="1"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5.75" customHeight="1"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5.75" customHeight="1"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5.75" customHeight="1"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5.75" customHeight="1"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5.75" customHeight="1"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5.75" customHeight="1"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5.75" customHeight="1"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5.75" customHeight="1"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5.75" customHeight="1"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5.75" customHeight="1"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5.75" customHeight="1"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5.75" customHeight="1"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5.75" customHeight="1"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5.75" customHeight="1"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5.75" customHeight="1"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5.75" customHeight="1"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5.75" customHeight="1"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5.75" customHeight="1"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5.75" customHeight="1"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5.75" customHeight="1"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5.75" customHeight="1"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5.75" customHeight="1"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5.75" customHeight="1"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5.75" customHeight="1"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5.75" customHeight="1"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5.75" customHeight="1"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5.75" customHeight="1"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5.75" customHeight="1"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5.75" customHeight="1"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5.75" customHeight="1"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5.75" customHeight="1"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5.75" customHeight="1"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5.75" customHeight="1"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5.75" customHeight="1"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5.75" customHeight="1"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5.75" customHeight="1"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5.75" customHeight="1"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5.75" customHeight="1"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5.75" customHeight="1"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5.75" customHeight="1"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5.75" customHeight="1"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5.75" customHeight="1"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5.75" customHeight="1"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5.75" customHeight="1"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5.75" customHeight="1"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5.75" customHeight="1"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5.75" customHeight="1"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5.75" customHeight="1"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5.75" customHeight="1"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5.75" customHeight="1"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5.75" customHeight="1"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5.75" customHeight="1"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5.75" customHeight="1"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5.75" customHeight="1"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5.75" customHeight="1"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5.75" customHeight="1"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5.75" customHeight="1"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5.75" customHeight="1"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5.75" customHeight="1"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5.75" customHeight="1"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5.75" customHeight="1"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5.75" customHeight="1"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5.75" customHeight="1"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5.75" customHeight="1"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5.75" customHeight="1"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5.75" customHeight="1"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5.75" customHeight="1"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5.75" customHeight="1"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5.75" customHeight="1"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5.75" customHeight="1"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5.75" customHeight="1"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5.75" customHeight="1"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5.75" customHeight="1"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5.75" customHeight="1"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5.75" customHeight="1"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5.75" customHeight="1"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5.75" customHeight="1"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5.75" customHeight="1"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5.75" customHeight="1"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5.75" customHeight="1"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5.75" customHeight="1"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5.75" customHeight="1"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5.75" customHeight="1"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5.75" customHeight="1"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5.75" customHeight="1"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5.75" customHeight="1"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5.75" customHeight="1"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5.75" customHeight="1"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5.75" customHeight="1"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5.75" customHeight="1"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5.75" customHeight="1"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5.75" customHeight="1"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5.75" customHeight="1"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5.75" customHeight="1"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5.75" customHeight="1"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5.75" customHeight="1"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5.75" customHeight="1"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5.75" customHeight="1"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5.75" customHeight="1"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5.75" customHeight="1"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5.75" customHeight="1"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5.75" customHeight="1"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5.75" customHeight="1"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5.75" customHeight="1"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5.75" customHeight="1"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5.75" customHeight="1"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5.75" customHeight="1"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5.75" customHeight="1"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5.75" customHeight="1"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5.75" customHeight="1"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5.75" customHeight="1"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5.75" customHeight="1"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5.75" customHeight="1"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5.75" customHeight="1"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5.75" customHeight="1"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5.75" customHeight="1"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5.75" customHeight="1"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5.75" customHeight="1"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5.75" customHeight="1"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5.75" customHeight="1"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5.75" customHeight="1"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5.75" customHeight="1"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5.75" customHeight="1"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5.75" customHeight="1"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5.75" customHeight="1"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5.75" customHeight="1"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5.75" customHeight="1"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5.75" customHeight="1"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5.75" customHeight="1"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5.75" customHeight="1"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5.75" customHeight="1"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5.75" customHeight="1"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5.75" customHeight="1"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5.75" customHeight="1"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5.75" customHeight="1"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5.75" customHeight="1"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5.75" customHeight="1"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5.75" customHeight="1"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5.75" customHeight="1"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5.75" customHeight="1"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5.75" customHeight="1"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5.75" customHeight="1"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5.75" customHeight="1"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5.75" customHeight="1"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5.75" customHeight="1"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5.75" customHeight="1"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5.75" customHeight="1"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5.75" customHeight="1"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5.75" customHeight="1"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5.75" customHeight="1"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5.75" customHeight="1"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5.75" customHeight="1"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5.75" customHeight="1"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5.75" customHeight="1"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5.75" customHeight="1"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5.75" customHeight="1"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5.75" customHeight="1"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5.75" customHeight="1"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5.75" customHeight="1"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5.75" customHeight="1"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5.75" customHeight="1"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5.75" customHeight="1"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5.75" customHeight="1"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5.75" customHeight="1"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5.75" customHeight="1"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5.75" customHeight="1"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5.75" customHeight="1"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5.75" customHeight="1"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5.75" customHeight="1"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5.75" customHeight="1"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5.75" customHeight="1"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5.75" customHeight="1"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5.75" customHeight="1"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5.75" customHeight="1"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5.75" customHeight="1"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5.75" customHeight="1"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5.75" customHeight="1"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5.75" customHeight="1"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5.75" customHeight="1"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5.75" customHeight="1"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5.75" customHeight="1"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5.75" customHeight="1"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5.75" customHeight="1"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5.75" customHeight="1"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5.75" customHeight="1"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5.75" customHeight="1"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5.75" customHeight="1"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5.75" customHeight="1"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5.75" customHeight="1"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5.75" customHeight="1"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5.75" customHeight="1"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5.75" customHeight="1"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5.75" customHeight="1"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5.75" customHeight="1"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5.75" customHeight="1"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5.75" customHeight="1"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5.75" customHeight="1"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5.75" customHeight="1"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5.75" customHeight="1"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5.75" customHeight="1"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5.75" customHeight="1"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5.75" customHeight="1"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5.75" customHeight="1"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5.75" customHeight="1"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5.75" customHeight="1"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5.75" customHeight="1"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5.75" customHeight="1"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5.75" customHeight="1"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5.75" customHeight="1"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5.75" customHeight="1"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5.75" customHeight="1"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5.75" customHeight="1"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5.75" customHeight="1"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5.75" customHeight="1"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5.75" customHeight="1"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5.75" customHeight="1"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5.75" customHeight="1"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5.75" customHeight="1"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5.75" customHeight="1"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5.75" customHeight="1"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5.75" customHeight="1"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5.75" customHeight="1"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5.75" customHeight="1"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5.75" customHeight="1"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5.75" customHeight="1"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5.75" customHeight="1"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5.75" customHeight="1"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5.75" customHeight="1"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5.75" customHeight="1"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5.75" customHeight="1"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5.75" customHeight="1"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5.75" customHeight="1"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5.75" customHeight="1"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5.75" customHeight="1"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5.75" customHeight="1"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5.75" customHeight="1"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5.75" customHeight="1"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5.75" customHeight="1"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5.75" customHeight="1"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5.75" customHeight="1"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5.75" customHeight="1"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5.75" customHeight="1"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5.75" customHeight="1"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5.75" customHeight="1"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5.75" customHeight="1"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5.75" customHeight="1"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5.75" customHeight="1"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5.75" customHeight="1"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5.75" customHeight="1"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5.75" customHeight="1"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5.75" customHeight="1"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5.75" customHeight="1"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5.75" customHeight="1"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5.75" customHeight="1"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5.75" customHeight="1"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5.75" customHeight="1"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5.75" customHeight="1"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5.75" customHeight="1"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5.75" customHeight="1"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5.75" customHeight="1"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5.75" customHeight="1"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5.75" customHeight="1"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5.75" customHeight="1"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5.75" customHeight="1"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5.75" customHeight="1"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5.75" customHeight="1"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5.75" customHeight="1"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5.75" customHeight="1"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5.75" customHeight="1"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5.75" customHeight="1"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5.75" customHeight="1"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5.75" customHeight="1"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5.75" customHeight="1"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5.75" customHeight="1"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5.75" customHeight="1"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5.75" customHeight="1"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5.75" customHeight="1"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5.75" customHeight="1"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5.75" customHeight="1"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5.75" customHeight="1"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5.75" customHeight="1"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5.75" customHeight="1"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5.75" customHeight="1"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5.75" customHeight="1"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5.75" customHeight="1"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5.75" customHeight="1"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5.75" customHeight="1"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5.75" customHeight="1"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5.75" customHeight="1"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5.75" customHeight="1"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5.75" customHeight="1"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5.75" customHeight="1"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5.75" customHeight="1"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5.75" customHeight="1"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5.75" customHeight="1"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5.75" customHeight="1"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5.75" customHeight="1"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5.75" customHeight="1"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5.75" customHeight="1"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5.75" customHeight="1"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5.75" customHeight="1"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5.75" customHeight="1"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5.75" customHeight="1"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5.75" customHeight="1"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5.75" customHeight="1"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5.75" customHeight="1"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5.75" customHeight="1"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5.75" customHeight="1"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5.75" customHeight="1"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5.75" customHeight="1"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5.75" customHeight="1"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5.75" customHeight="1"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5.75" customHeight="1"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5.75" customHeight="1"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5.75" customHeight="1"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5.75" customHeight="1"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5.75" customHeight="1"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5.75" customHeight="1"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5.75" customHeight="1"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5.75" customHeight="1"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5.75" customHeight="1"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5.75" customHeight="1"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5.75" customHeight="1"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5.75" customHeight="1"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5.75" customHeight="1"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5.75" customHeight="1"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5.75" customHeight="1"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5.75" customHeight="1"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5.75" customHeight="1"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5.75" customHeight="1"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5.75" customHeight="1"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5.75" customHeight="1"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42">
    <mergeCell ref="A1:H1"/>
    <mergeCell ref="A3:I3"/>
    <mergeCell ref="A6:H6"/>
    <mergeCell ref="A8:H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B53:H53"/>
    <mergeCell ref="B54:H54"/>
    <mergeCell ref="B55:H55"/>
    <mergeCell ref="B56:H56"/>
    <mergeCell ref="B57:H57"/>
    <mergeCell ref="B58:H58"/>
    <mergeCell ref="B59:H59"/>
    <mergeCell ref="A33:B33"/>
    <mergeCell ref="A34:B34"/>
    <mergeCell ref="A35:B35"/>
    <mergeCell ref="A36:B36"/>
    <mergeCell ref="A37:B37"/>
    <mergeCell ref="B51:H51"/>
    <mergeCell ref="B52:H52"/>
  </mergeCells>
  <conditionalFormatting sqref="B40:B46 B48 I52:K59">
    <cfRule type="cellIs" dxfId="0" priority="1" stopIfTrue="1" operator="greaterThan">
      <formula>0.6666</formula>
    </cfRule>
  </conditionalFormatting>
  <conditionalFormatting sqref="B40:B46 B48 I52:K59">
    <cfRule type="cellIs" dxfId="1" priority="2" stopIfTrue="1" operator="between">
      <formula>0.33</formula>
      <formula>0.66</formula>
    </cfRule>
  </conditionalFormatting>
  <conditionalFormatting sqref="B40:B46 B48 I52:K59">
    <cfRule type="cellIs" dxfId="2" priority="3" stopIfTrue="1" operator="lessThan">
      <formula>0.3333</formula>
    </cfRule>
  </conditionalFormatting>
  <printOptions horizontalCentered="1"/>
  <pageMargins bottom="0.0" footer="0.0" header="0.0" left="0.11811023622047245" right="0.11811023622047245" top="0.0"/>
  <pageSetup scale="80" orientation="landscape"/>
  <drawing r:id="rId1"/>
</worksheet>
</file>